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thasolisdeovando/Documents/GrowthChamberStats/data/"/>
    </mc:Choice>
  </mc:AlternateContent>
  <xr:revisionPtr revIDLastSave="0" documentId="8_{DB21FAC2-CFF9-ED45-A087-38A3EE58D9B7}" xr6:coauthVersionLast="47" xr6:coauthVersionMax="47" xr10:uidLastSave="{00000000-0000-0000-0000-000000000000}"/>
  <bookViews>
    <workbookView xWindow="0" yWindow="680" windowWidth="27040" windowHeight="16880" xr2:uid="{1A8B83B9-6C26-0C48-8595-14FE41801C10}"/>
  </bookViews>
  <sheets>
    <sheet name="MasterDataSheet_UGthesis_Feb232" sheetId="1" r:id="rId1"/>
  </sheets>
  <definedNames>
    <definedName name="_xlnm._FilterDatabase" localSheetId="0" hidden="1">MasterDataSheet_UGthesis_Feb232!$A$1:$N$316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32" i="1"/>
  <c r="S33" i="1"/>
  <c r="S34" i="1"/>
  <c r="S35" i="1"/>
  <c r="S36" i="1"/>
  <c r="S37" i="1"/>
  <c r="S38" i="1"/>
  <c r="S39" i="1"/>
  <c r="S40" i="1"/>
  <c r="S41" i="1"/>
  <c r="S42" i="1"/>
  <c r="S43" i="1"/>
  <c r="S47" i="1"/>
  <c r="S48" i="1"/>
  <c r="S49" i="1"/>
  <c r="S50" i="1"/>
  <c r="S51" i="1"/>
  <c r="S52" i="1"/>
  <c r="S53" i="1"/>
  <c r="S54" i="1"/>
  <c r="S55" i="1"/>
  <c r="S56" i="1"/>
  <c r="S57" i="1"/>
  <c r="S58" i="1"/>
  <c r="S62" i="1"/>
  <c r="S63" i="1"/>
  <c r="S64" i="1"/>
  <c r="S65" i="1"/>
  <c r="S66" i="1"/>
  <c r="S67" i="1"/>
  <c r="S68" i="1"/>
  <c r="S69" i="1"/>
  <c r="S70" i="1"/>
  <c r="S71" i="1"/>
  <c r="S72" i="1"/>
  <c r="S73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2" i="1"/>
</calcChain>
</file>

<file path=xl/sharedStrings.xml><?xml version="1.0" encoding="utf-8"?>
<sst xmlns="http://schemas.openxmlformats.org/spreadsheetml/2006/main" count="2183" uniqueCount="47">
  <si>
    <t>Remark</t>
  </si>
  <si>
    <t>Week dates</t>
  </si>
  <si>
    <t>measurement week</t>
  </si>
  <si>
    <t>Treatment</t>
  </si>
  <si>
    <t>Season</t>
  </si>
  <si>
    <t>CO2flux</t>
  </si>
  <si>
    <t>CH4flux</t>
  </si>
  <si>
    <t>mgCH4</t>
  </si>
  <si>
    <t>averageTemp</t>
  </si>
  <si>
    <t>MeanSoilMoisture</t>
  </si>
  <si>
    <t>MEANpH</t>
  </si>
  <si>
    <t>meanGCC</t>
  </si>
  <si>
    <t>canopyheight</t>
  </si>
  <si>
    <t>EvapotranspirationRate</t>
  </si>
  <si>
    <t>May 13 2025 - May 21 2025</t>
  </si>
  <si>
    <t>Extended</t>
  </si>
  <si>
    <t>Early summer</t>
  </si>
  <si>
    <t>NA</t>
  </si>
  <si>
    <t>Heatwave</t>
  </si>
  <si>
    <t>Control</t>
  </si>
  <si>
    <t>May 21 2025 - May 28 2025</t>
  </si>
  <si>
    <t>May 28 - June 4</t>
  </si>
  <si>
    <t>Mid-summer</t>
  </si>
  <si>
    <t>June 4 - June 11</t>
  </si>
  <si>
    <t>June 11 - June 18</t>
  </si>
  <si>
    <t>Late summer</t>
  </si>
  <si>
    <t>June 18 - June 25</t>
  </si>
  <si>
    <t>Late summer / heatwave</t>
  </si>
  <si>
    <t>June 25 - July 2</t>
  </si>
  <si>
    <t>Autumn / extended summer</t>
  </si>
  <si>
    <t>July 2 - July 10</t>
  </si>
  <si>
    <t>July 10 - July 16</t>
  </si>
  <si>
    <t>July 16 -  July 23</t>
  </si>
  <si>
    <t>Regular late autumn / warmer early autumn</t>
  </si>
  <si>
    <t>July 16 - July 23</t>
  </si>
  <si>
    <t>July 23 - July 30</t>
  </si>
  <si>
    <t>July 30 - August 6</t>
  </si>
  <si>
    <t>Regular late autumn (extended group only)</t>
  </si>
  <si>
    <t>August 6 - August 13</t>
  </si>
  <si>
    <t>August 13 - August 20</t>
  </si>
  <si>
    <t>August 20 - August 27</t>
  </si>
  <si>
    <t>graminoid cover</t>
  </si>
  <si>
    <t>shrub cover</t>
  </si>
  <si>
    <t>forb cover</t>
  </si>
  <si>
    <t>bryophyte cover</t>
  </si>
  <si>
    <t xml:space="preserve"> NA</t>
  </si>
  <si>
    <t>CanopyExtent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</si>
</sst>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0" xfId="0" applyFon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856A-EDDA-0E40-9F21-5684AE9CA21E}">
  <dimension ref="A1:S316"/>
  <sheetViews>
    <sheetView tabSelected="1" zoomScale="110" zoomScaleNormal="110" workbookViewId="0">
      <pane xSplit="4" topLeftCell="E1" activePane="topRight" state="frozen"/>
      <selection pane="topRight" activeCell="L19" sqref="L19"/>
    </sheetView>
  </sheetViews>
  <sheetFormatPr baseColWidth="10" defaultRowHeight="16" x14ac:dyDescent="0.2"/>
  <cols>
    <col min="10" max="10" width="10.83203125" style="4"/>
    <col min="14" max="14" width="10.83203125" style="4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  <c r="L1" t="s">
        <v>11</v>
      </c>
      <c r="M1" t="s">
        <v>12</v>
      </c>
      <c r="N1" s="4" t="s">
        <v>13</v>
      </c>
      <c r="O1" t="s">
        <v>41</v>
      </c>
      <c r="P1" t="s">
        <v>42</v>
      </c>
      <c r="Q1" t="s">
        <v>43</v>
      </c>
      <c r="R1" t="s">
        <v>44</v>
      </c>
      <c r="S1" t="s">
        <v>46</v>
      </c>
    </row>
    <row r="2" spans="1:19" x14ac:dyDescent="0.2">
      <c r="A2">
        <v>1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 t="s">
        <v>17</v>
      </c>
      <c r="H2" t="s">
        <v>17</v>
      </c>
      <c r="I2">
        <v>10</v>
      </c>
      <c r="J2" s="4">
        <v>5.85</v>
      </c>
      <c r="K2">
        <v>7.45</v>
      </c>
      <c r="L2">
        <v>0.30789951399999999</v>
      </c>
      <c r="M2" s="4" t="s">
        <v>17</v>
      </c>
      <c r="N2" s="4">
        <v>1.4</v>
      </c>
      <c r="O2" s="2">
        <v>0.08</v>
      </c>
      <c r="P2" s="2">
        <v>0.03</v>
      </c>
      <c r="Q2" s="2">
        <v>0.03</v>
      </c>
      <c r="R2" s="2">
        <v>0.17</v>
      </c>
      <c r="S2">
        <f>SUM(O2:R2)</f>
        <v>0.31000000000000005</v>
      </c>
    </row>
    <row r="3" spans="1:19" x14ac:dyDescent="0.2">
      <c r="A3">
        <v>1</v>
      </c>
      <c r="B3" t="s">
        <v>20</v>
      </c>
      <c r="C3">
        <v>2</v>
      </c>
      <c r="D3" t="s">
        <v>15</v>
      </c>
      <c r="E3" t="s">
        <v>16</v>
      </c>
      <c r="F3" t="s">
        <v>17</v>
      </c>
      <c r="G3" t="s">
        <v>17</v>
      </c>
      <c r="H3" t="s">
        <v>17</v>
      </c>
      <c r="I3">
        <v>10</v>
      </c>
      <c r="J3" s="4">
        <v>4.7</v>
      </c>
      <c r="K3">
        <v>7.55</v>
      </c>
      <c r="L3">
        <v>0.31276857400000002</v>
      </c>
      <c r="M3" s="4" t="s">
        <v>17</v>
      </c>
      <c r="N3" s="4">
        <v>1.4</v>
      </c>
      <c r="O3" s="2">
        <v>0.1</v>
      </c>
      <c r="P3" s="2">
        <v>0.08</v>
      </c>
      <c r="Q3" s="2">
        <v>0.05</v>
      </c>
      <c r="R3" s="2">
        <v>0.18</v>
      </c>
      <c r="S3">
        <f t="shared" ref="S3:S66" si="0">SUM(O3:R3)</f>
        <v>0.41</v>
      </c>
    </row>
    <row r="4" spans="1:19" x14ac:dyDescent="0.2">
      <c r="A4">
        <v>1</v>
      </c>
      <c r="B4" t="s">
        <v>21</v>
      </c>
      <c r="C4">
        <v>3</v>
      </c>
      <c r="D4" t="s">
        <v>15</v>
      </c>
      <c r="E4" t="s">
        <v>22</v>
      </c>
      <c r="F4" t="s">
        <v>17</v>
      </c>
      <c r="G4" t="s">
        <v>17</v>
      </c>
      <c r="H4" t="s">
        <v>17</v>
      </c>
      <c r="I4">
        <v>10</v>
      </c>
      <c r="J4" s="4">
        <v>7.5</v>
      </c>
      <c r="K4">
        <v>7.3</v>
      </c>
      <c r="L4">
        <v>0.32028865200000001</v>
      </c>
      <c r="M4" t="s">
        <v>17</v>
      </c>
      <c r="N4" s="4">
        <v>1.8</v>
      </c>
      <c r="O4" s="2">
        <v>0.12</v>
      </c>
      <c r="P4" s="2">
        <v>0.18</v>
      </c>
      <c r="Q4" s="2">
        <v>0.1</v>
      </c>
      <c r="R4" s="2">
        <v>0.2</v>
      </c>
      <c r="S4">
        <f t="shared" si="0"/>
        <v>0.60000000000000009</v>
      </c>
    </row>
    <row r="5" spans="1:19" x14ac:dyDescent="0.2">
      <c r="A5">
        <v>1</v>
      </c>
      <c r="B5" t="s">
        <v>23</v>
      </c>
      <c r="C5">
        <v>4</v>
      </c>
      <c r="D5" t="s">
        <v>15</v>
      </c>
      <c r="E5" t="s">
        <v>22</v>
      </c>
      <c r="F5" t="s">
        <v>17</v>
      </c>
      <c r="G5" t="s">
        <v>17</v>
      </c>
      <c r="H5" t="s">
        <v>17</v>
      </c>
      <c r="I5">
        <v>10</v>
      </c>
      <c r="J5" s="4">
        <v>8.9</v>
      </c>
      <c r="K5">
        <v>7.05</v>
      </c>
      <c r="L5">
        <v>0.32693314600000001</v>
      </c>
      <c r="M5">
        <v>10.3</v>
      </c>
      <c r="N5" s="4">
        <v>1.6</v>
      </c>
      <c r="O5" s="2">
        <v>0.2</v>
      </c>
      <c r="P5" s="2">
        <v>0.2</v>
      </c>
      <c r="Q5" s="2">
        <v>0.12</v>
      </c>
      <c r="R5" s="2">
        <v>0.2</v>
      </c>
      <c r="S5">
        <f t="shared" si="0"/>
        <v>0.72</v>
      </c>
    </row>
    <row r="6" spans="1:19" x14ac:dyDescent="0.2">
      <c r="A6">
        <v>1</v>
      </c>
      <c r="B6" t="s">
        <v>24</v>
      </c>
      <c r="C6">
        <v>5</v>
      </c>
      <c r="D6" t="s">
        <v>15</v>
      </c>
      <c r="E6" t="s">
        <v>25</v>
      </c>
      <c r="F6" t="s">
        <v>17</v>
      </c>
      <c r="G6" t="s">
        <v>17</v>
      </c>
      <c r="H6" t="s">
        <v>17</v>
      </c>
      <c r="I6">
        <v>10</v>
      </c>
      <c r="J6" s="4">
        <v>8.0500000000000007</v>
      </c>
      <c r="K6">
        <v>7.3</v>
      </c>
      <c r="L6">
        <v>0.33198287700000001</v>
      </c>
      <c r="M6">
        <v>18.600000000000001</v>
      </c>
      <c r="N6" s="4">
        <v>1.2</v>
      </c>
      <c r="O6" s="2">
        <v>0.22</v>
      </c>
      <c r="P6" s="2">
        <v>0.22</v>
      </c>
      <c r="Q6" s="2">
        <v>0.13</v>
      </c>
      <c r="R6" s="2">
        <v>0.12</v>
      </c>
      <c r="S6">
        <f t="shared" si="0"/>
        <v>0.69000000000000006</v>
      </c>
    </row>
    <row r="7" spans="1:19" x14ac:dyDescent="0.2">
      <c r="A7">
        <v>1</v>
      </c>
      <c r="B7" t="s">
        <v>26</v>
      </c>
      <c r="C7">
        <v>6</v>
      </c>
      <c r="D7" t="s">
        <v>15</v>
      </c>
      <c r="E7" t="s">
        <v>27</v>
      </c>
      <c r="F7">
        <v>2.3388079890000002</v>
      </c>
      <c r="G7" s="1">
        <v>8.5099999999999998E-9</v>
      </c>
      <c r="H7" s="1">
        <v>1.1800000000000001E-5</v>
      </c>
      <c r="I7">
        <v>10</v>
      </c>
      <c r="J7" s="4">
        <v>10</v>
      </c>
      <c r="K7">
        <v>6.65</v>
      </c>
      <c r="L7">
        <v>0.336344052</v>
      </c>
      <c r="M7">
        <v>19</v>
      </c>
      <c r="N7" s="4">
        <v>1.6</v>
      </c>
      <c r="O7" s="2">
        <v>0.25</v>
      </c>
      <c r="P7" s="2">
        <v>0.23</v>
      </c>
      <c r="Q7" s="2">
        <v>0.15</v>
      </c>
      <c r="R7" s="2">
        <v>0.1</v>
      </c>
      <c r="S7">
        <f t="shared" si="0"/>
        <v>0.73</v>
      </c>
    </row>
    <row r="8" spans="1:19" x14ac:dyDescent="0.2">
      <c r="A8">
        <v>1</v>
      </c>
      <c r="B8" t="s">
        <v>28</v>
      </c>
      <c r="C8">
        <v>7</v>
      </c>
      <c r="D8" t="s">
        <v>15</v>
      </c>
      <c r="E8" t="s">
        <v>29</v>
      </c>
      <c r="F8" t="s">
        <v>17</v>
      </c>
      <c r="G8" t="s">
        <v>17</v>
      </c>
      <c r="H8" t="s">
        <v>17</v>
      </c>
      <c r="I8">
        <v>10</v>
      </c>
      <c r="J8" s="4">
        <v>9.5500000000000007</v>
      </c>
      <c r="K8">
        <v>7.05</v>
      </c>
      <c r="L8">
        <v>0.340186078</v>
      </c>
      <c r="M8">
        <v>19.100000000000001</v>
      </c>
      <c r="N8" s="4">
        <v>1.4</v>
      </c>
      <c r="O8" s="2">
        <v>0.27</v>
      </c>
      <c r="P8" s="2">
        <v>0.25</v>
      </c>
      <c r="Q8" s="2">
        <v>0.2</v>
      </c>
      <c r="R8" s="2">
        <v>0.08</v>
      </c>
      <c r="S8">
        <f t="shared" si="0"/>
        <v>0.79999999999999993</v>
      </c>
    </row>
    <row r="9" spans="1:19" x14ac:dyDescent="0.2">
      <c r="A9">
        <v>1</v>
      </c>
      <c r="B9" t="s">
        <v>30</v>
      </c>
      <c r="C9">
        <v>8</v>
      </c>
      <c r="D9" t="s">
        <v>15</v>
      </c>
      <c r="E9" t="s">
        <v>29</v>
      </c>
      <c r="F9" t="s">
        <v>17</v>
      </c>
      <c r="G9" t="s">
        <v>17</v>
      </c>
      <c r="H9" t="s">
        <v>17</v>
      </c>
      <c r="I9">
        <v>10</v>
      </c>
      <c r="J9" s="4">
        <v>8.9499999999999993</v>
      </c>
      <c r="K9">
        <v>7.15</v>
      </c>
      <c r="L9">
        <v>0.347070773</v>
      </c>
      <c r="M9">
        <v>18.600000000000001</v>
      </c>
      <c r="N9" s="4">
        <v>1.4</v>
      </c>
      <c r="O9" s="2">
        <v>0.27</v>
      </c>
      <c r="P9" s="2">
        <v>0.2</v>
      </c>
      <c r="Q9" s="2">
        <v>0.25</v>
      </c>
      <c r="R9" s="2">
        <v>0.05</v>
      </c>
      <c r="S9">
        <f t="shared" si="0"/>
        <v>0.77</v>
      </c>
    </row>
    <row r="10" spans="1:19" x14ac:dyDescent="0.2">
      <c r="A10">
        <v>1</v>
      </c>
      <c r="B10" t="s">
        <v>31</v>
      </c>
      <c r="C10">
        <v>9</v>
      </c>
      <c r="D10" t="s">
        <v>15</v>
      </c>
      <c r="E10" t="s">
        <v>29</v>
      </c>
      <c r="F10">
        <v>2.4345880520000001</v>
      </c>
      <c r="G10" s="1">
        <v>-1.5700000000000002E-8</v>
      </c>
      <c r="H10" s="1">
        <v>-2.1699999999999999E-5</v>
      </c>
      <c r="I10">
        <v>10</v>
      </c>
      <c r="J10" s="4">
        <v>9.8000000000000007</v>
      </c>
      <c r="K10">
        <v>6.95</v>
      </c>
      <c r="L10">
        <v>0.35925877299999998</v>
      </c>
      <c r="M10">
        <v>19.100000000000001</v>
      </c>
      <c r="N10" s="4">
        <v>1.4</v>
      </c>
      <c r="O10" s="2">
        <v>0.32</v>
      </c>
      <c r="P10" s="2">
        <v>0.18</v>
      </c>
      <c r="Q10" s="2">
        <v>0.28000000000000003</v>
      </c>
      <c r="R10" s="2">
        <v>0.02</v>
      </c>
      <c r="S10">
        <f t="shared" si="0"/>
        <v>0.8</v>
      </c>
    </row>
    <row r="11" spans="1:19" x14ac:dyDescent="0.2">
      <c r="A11">
        <v>1</v>
      </c>
      <c r="B11" t="s">
        <v>32</v>
      </c>
      <c r="C11">
        <v>10</v>
      </c>
      <c r="D11" t="s">
        <v>15</v>
      </c>
      <c r="E11" t="s">
        <v>33</v>
      </c>
      <c r="F11" t="s">
        <v>17</v>
      </c>
      <c r="G11" t="s">
        <v>17</v>
      </c>
      <c r="H11" t="s">
        <v>17</v>
      </c>
      <c r="I11">
        <v>10</v>
      </c>
      <c r="J11" s="4">
        <v>9.5</v>
      </c>
      <c r="K11">
        <v>6.7</v>
      </c>
      <c r="L11">
        <v>0.35918652699999998</v>
      </c>
      <c r="M11">
        <v>18.600000000000001</v>
      </c>
      <c r="N11" s="4">
        <v>0.6</v>
      </c>
      <c r="O11" s="2">
        <v>0.35</v>
      </c>
      <c r="P11" s="2">
        <v>0.15</v>
      </c>
      <c r="Q11" s="2">
        <v>0.32</v>
      </c>
      <c r="R11" s="2">
        <v>0.01</v>
      </c>
      <c r="S11">
        <f t="shared" si="0"/>
        <v>0.83000000000000007</v>
      </c>
    </row>
    <row r="12" spans="1:19" x14ac:dyDescent="0.2">
      <c r="A12">
        <v>1</v>
      </c>
      <c r="B12" t="s">
        <v>35</v>
      </c>
      <c r="C12">
        <v>11</v>
      </c>
      <c r="D12" t="s">
        <v>15</v>
      </c>
      <c r="E12" t="s">
        <v>33</v>
      </c>
      <c r="F12">
        <v>1.2812797220000001</v>
      </c>
      <c r="G12" s="1">
        <v>-6.9500000000000002E-9</v>
      </c>
      <c r="H12" s="1">
        <v>-9.6299999999999993E-6</v>
      </c>
      <c r="I12">
        <v>10</v>
      </c>
      <c r="J12" s="4">
        <v>10</v>
      </c>
      <c r="K12">
        <v>6.8</v>
      </c>
      <c r="L12">
        <v>0.36494104300000002</v>
      </c>
      <c r="M12">
        <v>18.399999999999999</v>
      </c>
      <c r="N12" s="4">
        <v>0.6</v>
      </c>
      <c r="O12" s="2">
        <v>0.37</v>
      </c>
      <c r="P12" s="2">
        <v>0.12</v>
      </c>
      <c r="Q12" s="2">
        <v>0.35</v>
      </c>
      <c r="R12" s="2">
        <v>0.01</v>
      </c>
      <c r="S12">
        <f t="shared" si="0"/>
        <v>0.85</v>
      </c>
    </row>
    <row r="13" spans="1:19" x14ac:dyDescent="0.2">
      <c r="A13">
        <v>1</v>
      </c>
      <c r="B13" t="s">
        <v>36</v>
      </c>
      <c r="C13">
        <v>12</v>
      </c>
      <c r="D13" t="s">
        <v>15</v>
      </c>
      <c r="E13" t="s">
        <v>37</v>
      </c>
      <c r="F13" t="s">
        <v>17</v>
      </c>
      <c r="G13" t="s">
        <v>17</v>
      </c>
      <c r="H13" t="s">
        <v>17</v>
      </c>
      <c r="I13">
        <v>10</v>
      </c>
      <c r="J13" s="4">
        <v>9.65</v>
      </c>
      <c r="K13">
        <v>6.95</v>
      </c>
      <c r="L13">
        <v>0.366340789</v>
      </c>
      <c r="M13">
        <v>18.100000000000001</v>
      </c>
      <c r="N13" s="4">
        <v>1.2</v>
      </c>
      <c r="O13" s="2">
        <v>0.4</v>
      </c>
      <c r="P13" s="2">
        <v>0.1</v>
      </c>
      <c r="Q13" s="2">
        <v>0.38</v>
      </c>
      <c r="R13" s="2">
        <v>0.01</v>
      </c>
      <c r="S13">
        <f t="shared" si="0"/>
        <v>0.89</v>
      </c>
    </row>
    <row r="14" spans="1:19" x14ac:dyDescent="0.2">
      <c r="A14">
        <v>1</v>
      </c>
      <c r="B14" t="s">
        <v>38</v>
      </c>
      <c r="C14">
        <v>13</v>
      </c>
      <c r="D14" t="s">
        <v>15</v>
      </c>
      <c r="E14" t="s">
        <v>37</v>
      </c>
      <c r="F14">
        <v>2.2193628209999998</v>
      </c>
      <c r="G14" s="1">
        <v>-5.7200000000000003E-8</v>
      </c>
      <c r="H14" s="1">
        <v>-7.9300000000000003E-5</v>
      </c>
      <c r="I14">
        <v>2.5</v>
      </c>
      <c r="J14" s="4">
        <v>9.15</v>
      </c>
      <c r="K14">
        <v>7.25</v>
      </c>
      <c r="L14">
        <v>0.36477806499999998</v>
      </c>
      <c r="M14">
        <v>18.5</v>
      </c>
      <c r="N14" s="4">
        <v>1</v>
      </c>
      <c r="O14" s="2">
        <v>0.42</v>
      </c>
      <c r="P14" s="2">
        <v>0.05</v>
      </c>
      <c r="Q14" s="2">
        <v>0.4</v>
      </c>
      <c r="R14" s="2">
        <v>0.01</v>
      </c>
      <c r="S14">
        <f t="shared" si="0"/>
        <v>0.88</v>
      </c>
    </row>
    <row r="15" spans="1:19" x14ac:dyDescent="0.2">
      <c r="A15">
        <v>1</v>
      </c>
      <c r="B15" t="s">
        <v>39</v>
      </c>
      <c r="C15">
        <v>14</v>
      </c>
      <c r="D15" t="s">
        <v>15</v>
      </c>
      <c r="E15" t="s">
        <v>37</v>
      </c>
      <c r="F15" t="s">
        <v>17</v>
      </c>
      <c r="G15" t="s">
        <v>17</v>
      </c>
      <c r="H15" t="s">
        <v>17</v>
      </c>
      <c r="I15">
        <v>0.5</v>
      </c>
      <c r="J15" s="4">
        <v>9.5500000000000007</v>
      </c>
      <c r="K15">
        <v>7</v>
      </c>
      <c r="L15">
        <v>0.36202119100000002</v>
      </c>
      <c r="M15">
        <v>17.399999999999999</v>
      </c>
      <c r="N15" s="4">
        <v>1</v>
      </c>
      <c r="O15" s="2">
        <v>0.42</v>
      </c>
      <c r="P15" s="2">
        <v>0.05</v>
      </c>
      <c r="Q15" s="2">
        <v>0.4</v>
      </c>
      <c r="R15" s="2">
        <v>0.01</v>
      </c>
      <c r="S15">
        <f t="shared" si="0"/>
        <v>0.88</v>
      </c>
    </row>
    <row r="16" spans="1:19" x14ac:dyDescent="0.2">
      <c r="A16">
        <v>1</v>
      </c>
      <c r="B16" t="s">
        <v>40</v>
      </c>
      <c r="C16">
        <v>15</v>
      </c>
      <c r="D16" t="s">
        <v>15</v>
      </c>
      <c r="E16" t="s">
        <v>37</v>
      </c>
      <c r="F16">
        <v>0.82951370000000002</v>
      </c>
      <c r="G16" s="1">
        <v>-5.8600000000000002E-8</v>
      </c>
      <c r="H16" s="1">
        <v>-8.1199999999999995E-5</v>
      </c>
      <c r="I16">
        <v>-1.5</v>
      </c>
      <c r="J16" s="4">
        <v>8.9499999999999993</v>
      </c>
      <c r="K16">
        <v>6.95</v>
      </c>
      <c r="L16">
        <v>0.35227415699999998</v>
      </c>
      <c r="M16">
        <v>16.600000000000001</v>
      </c>
      <c r="N16" s="4" t="s">
        <v>17</v>
      </c>
      <c r="O16" s="2">
        <v>0.42</v>
      </c>
      <c r="P16" s="2">
        <v>0.05</v>
      </c>
      <c r="Q16" s="2">
        <v>0.4</v>
      </c>
      <c r="R16" s="2">
        <v>0.05</v>
      </c>
      <c r="S16">
        <f t="shared" si="0"/>
        <v>0.92</v>
      </c>
    </row>
    <row r="17" spans="1:19" x14ac:dyDescent="0.2">
      <c r="A17">
        <v>2</v>
      </c>
      <c r="B17" t="s">
        <v>14</v>
      </c>
      <c r="C17">
        <v>1</v>
      </c>
      <c r="D17" t="s">
        <v>18</v>
      </c>
      <c r="E17" t="s">
        <v>16</v>
      </c>
      <c r="F17" t="s">
        <v>17</v>
      </c>
      <c r="G17" t="s">
        <v>17</v>
      </c>
      <c r="H17" t="s">
        <v>17</v>
      </c>
      <c r="I17">
        <v>10</v>
      </c>
      <c r="J17" s="4">
        <v>3.95</v>
      </c>
      <c r="K17">
        <v>7.8</v>
      </c>
      <c r="L17">
        <v>0.30662012999999999</v>
      </c>
      <c r="M17" s="4" t="s">
        <v>17</v>
      </c>
      <c r="N17" s="4">
        <v>1.6</v>
      </c>
      <c r="O17" s="2">
        <v>0.02</v>
      </c>
      <c r="P17" s="2">
        <v>0</v>
      </c>
      <c r="Q17" s="2">
        <v>0.05</v>
      </c>
      <c r="R17" s="2">
        <v>0.08</v>
      </c>
      <c r="S17">
        <f t="shared" si="0"/>
        <v>0.15000000000000002</v>
      </c>
    </row>
    <row r="18" spans="1:19" x14ac:dyDescent="0.2">
      <c r="A18">
        <v>2</v>
      </c>
      <c r="B18" t="s">
        <v>20</v>
      </c>
      <c r="C18">
        <v>2</v>
      </c>
      <c r="D18" t="s">
        <v>18</v>
      </c>
      <c r="E18" t="s">
        <v>16</v>
      </c>
      <c r="F18" t="s">
        <v>17</v>
      </c>
      <c r="G18" t="s">
        <v>17</v>
      </c>
      <c r="H18" t="s">
        <v>17</v>
      </c>
      <c r="I18">
        <v>10</v>
      </c>
      <c r="J18" s="4">
        <v>4.8499999999999996</v>
      </c>
      <c r="K18">
        <v>7.4</v>
      </c>
      <c r="L18">
        <v>0.31388901200000002</v>
      </c>
      <c r="M18" s="4" t="s">
        <v>17</v>
      </c>
      <c r="N18" s="4">
        <v>1.4</v>
      </c>
      <c r="O18" s="2">
        <v>0.03</v>
      </c>
      <c r="P18" s="2">
        <v>0</v>
      </c>
      <c r="Q18" s="2">
        <v>0.11</v>
      </c>
      <c r="R18" s="2">
        <v>0.1</v>
      </c>
      <c r="S18">
        <f t="shared" si="0"/>
        <v>0.24000000000000002</v>
      </c>
    </row>
    <row r="19" spans="1:19" x14ac:dyDescent="0.2">
      <c r="A19">
        <v>2</v>
      </c>
      <c r="B19" t="s">
        <v>21</v>
      </c>
      <c r="C19">
        <v>3</v>
      </c>
      <c r="D19" t="s">
        <v>18</v>
      </c>
      <c r="E19" t="s">
        <v>22</v>
      </c>
      <c r="F19" t="s">
        <v>17</v>
      </c>
      <c r="G19" t="s">
        <v>17</v>
      </c>
      <c r="H19" t="s">
        <v>17</v>
      </c>
      <c r="I19">
        <v>10</v>
      </c>
      <c r="J19" s="4">
        <v>4.6500000000000004</v>
      </c>
      <c r="K19">
        <v>7.6</v>
      </c>
      <c r="L19">
        <v>0.31545601600000001</v>
      </c>
      <c r="M19" t="s">
        <v>17</v>
      </c>
      <c r="N19" s="4">
        <v>1.6</v>
      </c>
      <c r="O19" s="2">
        <v>0.05</v>
      </c>
      <c r="P19" s="2">
        <v>0.05</v>
      </c>
      <c r="Q19" s="2">
        <v>0.2</v>
      </c>
      <c r="R19" s="2">
        <v>0.05</v>
      </c>
      <c r="S19">
        <f t="shared" si="0"/>
        <v>0.35000000000000003</v>
      </c>
    </row>
    <row r="20" spans="1:19" x14ac:dyDescent="0.2">
      <c r="A20">
        <v>2</v>
      </c>
      <c r="B20" t="s">
        <v>23</v>
      </c>
      <c r="C20">
        <v>4</v>
      </c>
      <c r="D20" t="s">
        <v>18</v>
      </c>
      <c r="E20" t="s">
        <v>22</v>
      </c>
      <c r="F20" t="s">
        <v>17</v>
      </c>
      <c r="G20" t="s">
        <v>17</v>
      </c>
      <c r="H20" t="s">
        <v>17</v>
      </c>
      <c r="I20">
        <v>10</v>
      </c>
      <c r="J20" s="4">
        <v>6.45</v>
      </c>
      <c r="K20">
        <v>7.2</v>
      </c>
      <c r="L20">
        <v>0.31849023999999998</v>
      </c>
      <c r="M20">
        <v>19.399999999999999</v>
      </c>
      <c r="N20" s="4">
        <v>1.4</v>
      </c>
      <c r="O20" s="2">
        <v>0.08</v>
      </c>
      <c r="P20" s="2">
        <v>7.0000000000000007E-2</v>
      </c>
      <c r="Q20" s="2">
        <v>0.23</v>
      </c>
      <c r="R20" s="2">
        <v>0.08</v>
      </c>
      <c r="S20">
        <f t="shared" si="0"/>
        <v>0.46</v>
      </c>
    </row>
    <row r="21" spans="1:19" x14ac:dyDescent="0.2">
      <c r="A21">
        <v>2</v>
      </c>
      <c r="B21" t="s">
        <v>24</v>
      </c>
      <c r="C21">
        <v>5</v>
      </c>
      <c r="D21" t="s">
        <v>18</v>
      </c>
      <c r="E21" t="s">
        <v>25</v>
      </c>
      <c r="F21">
        <v>0.98238771999999996</v>
      </c>
      <c r="G21" s="1">
        <v>-1.3199999999999999E-7</v>
      </c>
      <c r="H21" s="1">
        <v>-1.83E-4</v>
      </c>
      <c r="I21">
        <v>16</v>
      </c>
      <c r="J21" s="4">
        <v>7.4</v>
      </c>
      <c r="K21">
        <v>7.15</v>
      </c>
      <c r="L21">
        <v>0.31934002500000003</v>
      </c>
      <c r="M21">
        <v>20.6</v>
      </c>
      <c r="N21" s="4">
        <v>1.2</v>
      </c>
      <c r="O21" s="2">
        <v>0.11</v>
      </c>
      <c r="P21" s="2">
        <v>0.09</v>
      </c>
      <c r="Q21" s="2">
        <v>0.25</v>
      </c>
      <c r="R21" s="2">
        <v>0.05</v>
      </c>
      <c r="S21">
        <f t="shared" si="0"/>
        <v>0.5</v>
      </c>
    </row>
    <row r="22" spans="1:19" x14ac:dyDescent="0.2">
      <c r="A22">
        <v>2</v>
      </c>
      <c r="B22" t="s">
        <v>26</v>
      </c>
      <c r="C22">
        <v>6</v>
      </c>
      <c r="D22" t="s">
        <v>18</v>
      </c>
      <c r="E22" t="s">
        <v>27</v>
      </c>
      <c r="F22">
        <v>2.5590010630000002</v>
      </c>
      <c r="G22" s="1">
        <v>9.3499999999999994E-9</v>
      </c>
      <c r="H22" s="1">
        <v>1.2999999999999999E-5</v>
      </c>
      <c r="I22">
        <v>16</v>
      </c>
      <c r="J22" s="4">
        <v>8.9499999999999993</v>
      </c>
      <c r="K22">
        <v>7.15</v>
      </c>
      <c r="L22">
        <v>0.32806474899999999</v>
      </c>
      <c r="M22">
        <v>19.399999999999999</v>
      </c>
      <c r="N22" s="4">
        <v>1.4</v>
      </c>
      <c r="O22" s="2">
        <v>0.15</v>
      </c>
      <c r="P22" s="2">
        <v>0.12</v>
      </c>
      <c r="Q22" s="2">
        <v>0.28000000000000003</v>
      </c>
      <c r="R22" s="2">
        <v>0.05</v>
      </c>
      <c r="S22">
        <f t="shared" si="0"/>
        <v>0.60000000000000009</v>
      </c>
    </row>
    <row r="23" spans="1:19" x14ac:dyDescent="0.2">
      <c r="A23">
        <v>2</v>
      </c>
      <c r="B23" t="s">
        <v>28</v>
      </c>
      <c r="C23">
        <v>7</v>
      </c>
      <c r="D23" t="s">
        <v>18</v>
      </c>
      <c r="E23" t="s">
        <v>29</v>
      </c>
      <c r="F23" t="s">
        <v>17</v>
      </c>
      <c r="G23" t="s">
        <v>17</v>
      </c>
      <c r="H23" t="s">
        <v>17</v>
      </c>
      <c r="I23">
        <v>6.625</v>
      </c>
      <c r="J23" s="4">
        <v>9.15</v>
      </c>
      <c r="K23">
        <v>7.3</v>
      </c>
      <c r="L23">
        <v>0.33978883199999999</v>
      </c>
      <c r="M23">
        <v>23.6</v>
      </c>
      <c r="N23" s="4">
        <v>0.8</v>
      </c>
      <c r="O23" s="2">
        <v>0.32</v>
      </c>
      <c r="P23" s="2">
        <v>0.15</v>
      </c>
      <c r="Q23" s="2">
        <v>0.4</v>
      </c>
      <c r="R23" s="2">
        <v>0.02</v>
      </c>
      <c r="S23">
        <f t="shared" si="0"/>
        <v>0.89</v>
      </c>
    </row>
    <row r="24" spans="1:19" x14ac:dyDescent="0.2">
      <c r="A24">
        <v>2</v>
      </c>
      <c r="B24" t="s">
        <v>30</v>
      </c>
      <c r="C24">
        <v>8</v>
      </c>
      <c r="D24" t="s">
        <v>18</v>
      </c>
      <c r="E24" t="s">
        <v>29</v>
      </c>
      <c r="F24" t="s">
        <v>17</v>
      </c>
      <c r="G24" t="s">
        <v>17</v>
      </c>
      <c r="H24" t="s">
        <v>17</v>
      </c>
      <c r="I24">
        <v>6.625</v>
      </c>
      <c r="J24" s="4">
        <v>9.15</v>
      </c>
      <c r="K24">
        <v>6.85</v>
      </c>
      <c r="L24">
        <v>0.33758411500000002</v>
      </c>
      <c r="M24">
        <v>26.1</v>
      </c>
      <c r="N24" s="4">
        <v>1.4</v>
      </c>
      <c r="O24" s="2">
        <v>0.4</v>
      </c>
      <c r="P24" s="2">
        <v>0.12</v>
      </c>
      <c r="Q24" s="2">
        <v>0.43</v>
      </c>
      <c r="R24" s="2">
        <v>0.01</v>
      </c>
      <c r="S24">
        <f t="shared" si="0"/>
        <v>0.96</v>
      </c>
    </row>
    <row r="25" spans="1:19" x14ac:dyDescent="0.2">
      <c r="A25">
        <v>2</v>
      </c>
      <c r="B25" t="s">
        <v>31</v>
      </c>
      <c r="C25">
        <v>9</v>
      </c>
      <c r="D25" t="s">
        <v>18</v>
      </c>
      <c r="E25" t="s">
        <v>29</v>
      </c>
      <c r="F25">
        <v>1.4392944649999999</v>
      </c>
      <c r="G25" s="1">
        <v>-4.3000000000000001E-8</v>
      </c>
      <c r="H25" s="1">
        <v>-5.9599999999999999E-5</v>
      </c>
      <c r="I25">
        <v>4.75</v>
      </c>
      <c r="J25" s="4">
        <v>9.5</v>
      </c>
      <c r="K25">
        <v>6.8</v>
      </c>
      <c r="L25">
        <v>0.341874224</v>
      </c>
      <c r="M25">
        <v>26.3</v>
      </c>
      <c r="N25" s="4">
        <v>1</v>
      </c>
      <c r="O25" s="2">
        <v>0.45</v>
      </c>
      <c r="P25" s="2">
        <v>0.15</v>
      </c>
      <c r="Q25" s="2">
        <v>0.45</v>
      </c>
      <c r="R25" s="2">
        <v>0.01</v>
      </c>
      <c r="S25">
        <f t="shared" si="0"/>
        <v>1.06</v>
      </c>
    </row>
    <row r="26" spans="1:19" x14ac:dyDescent="0.2">
      <c r="A26">
        <v>2</v>
      </c>
      <c r="B26" t="s">
        <v>34</v>
      </c>
      <c r="C26">
        <v>10</v>
      </c>
      <c r="D26" t="s">
        <v>18</v>
      </c>
      <c r="E26" t="s">
        <v>33</v>
      </c>
      <c r="F26" t="s">
        <v>17</v>
      </c>
      <c r="G26" t="s">
        <v>17</v>
      </c>
      <c r="H26" t="s">
        <v>17</v>
      </c>
      <c r="I26">
        <v>2.5</v>
      </c>
      <c r="J26" s="4">
        <v>9.35</v>
      </c>
      <c r="K26">
        <v>6.5</v>
      </c>
      <c r="L26">
        <v>0.33540252500000001</v>
      </c>
      <c r="M26">
        <v>27.2</v>
      </c>
      <c r="N26" s="4">
        <v>1</v>
      </c>
      <c r="O26" s="2">
        <v>0.47</v>
      </c>
      <c r="P26" s="2">
        <v>0.14000000000000001</v>
      </c>
      <c r="Q26" s="2">
        <v>0.45</v>
      </c>
      <c r="R26" s="2">
        <v>0.01</v>
      </c>
      <c r="S26">
        <f t="shared" si="0"/>
        <v>1.07</v>
      </c>
    </row>
    <row r="27" spans="1:19" x14ac:dyDescent="0.2">
      <c r="A27">
        <v>2</v>
      </c>
      <c r="B27" t="s">
        <v>35</v>
      </c>
      <c r="C27">
        <v>11</v>
      </c>
      <c r="D27" t="s">
        <v>18</v>
      </c>
      <c r="E27" t="s">
        <v>33</v>
      </c>
      <c r="F27">
        <v>0.92728502499999998</v>
      </c>
      <c r="G27" s="1">
        <v>-7.1399999999999997E-9</v>
      </c>
      <c r="H27" s="1">
        <v>-9.9000000000000001E-6</v>
      </c>
      <c r="I27">
        <v>0.5</v>
      </c>
      <c r="J27" s="4">
        <v>9.9</v>
      </c>
      <c r="K27">
        <v>7</v>
      </c>
      <c r="L27">
        <v>0.33321251000000002</v>
      </c>
      <c r="M27">
        <v>26.2</v>
      </c>
      <c r="N27" s="4">
        <v>1</v>
      </c>
      <c r="O27" s="2">
        <v>0.45</v>
      </c>
      <c r="P27" s="2">
        <v>0.16</v>
      </c>
      <c r="Q27" s="2">
        <v>0.47</v>
      </c>
      <c r="R27" s="2">
        <v>0.02</v>
      </c>
      <c r="S27">
        <f t="shared" si="0"/>
        <v>1.1000000000000001</v>
      </c>
    </row>
    <row r="28" spans="1:19" x14ac:dyDescent="0.2">
      <c r="A28">
        <v>2</v>
      </c>
      <c r="B28" t="s">
        <v>36</v>
      </c>
      <c r="C28">
        <v>12</v>
      </c>
      <c r="D28" t="s">
        <v>18</v>
      </c>
      <c r="E28" t="s">
        <v>37</v>
      </c>
      <c r="F28" t="s">
        <v>17</v>
      </c>
      <c r="G28" t="s">
        <v>17</v>
      </c>
      <c r="H28" t="s">
        <v>17</v>
      </c>
      <c r="I28">
        <v>-1.5</v>
      </c>
      <c r="J28" s="4">
        <v>8.15</v>
      </c>
      <c r="K28">
        <v>7.45</v>
      </c>
      <c r="L28">
        <v>0.33186298600000003</v>
      </c>
      <c r="M28">
        <v>25.7</v>
      </c>
      <c r="N28" s="4">
        <v>14.4</v>
      </c>
      <c r="O28" s="2">
        <v>0.42</v>
      </c>
      <c r="P28" s="2">
        <v>0.16</v>
      </c>
      <c r="Q28" s="2">
        <v>0.47</v>
      </c>
      <c r="R28" s="2">
        <v>0.02</v>
      </c>
      <c r="S28">
        <f t="shared" si="0"/>
        <v>1.0699999999999998</v>
      </c>
    </row>
    <row r="29" spans="1:19" x14ac:dyDescent="0.2">
      <c r="A29">
        <v>2</v>
      </c>
      <c r="B29" t="s">
        <v>38</v>
      </c>
      <c r="C29">
        <v>13</v>
      </c>
      <c r="D29" t="s">
        <v>18</v>
      </c>
      <c r="E29" t="s">
        <v>37</v>
      </c>
      <c r="F29" t="s">
        <v>17</v>
      </c>
      <c r="G29" t="s">
        <v>17</v>
      </c>
      <c r="H29" t="s">
        <v>17</v>
      </c>
      <c r="I29" t="s">
        <v>17</v>
      </c>
      <c r="J29" s="4" t="s">
        <v>17</v>
      </c>
      <c r="K29" t="s">
        <v>17</v>
      </c>
      <c r="L29" t="s">
        <v>17</v>
      </c>
      <c r="M29" t="s">
        <v>17</v>
      </c>
      <c r="N29" s="4" t="s">
        <v>17</v>
      </c>
      <c r="O29" s="2" t="s">
        <v>17</v>
      </c>
      <c r="P29" t="s">
        <v>17</v>
      </c>
      <c r="Q29" t="s">
        <v>17</v>
      </c>
      <c r="R29" t="s">
        <v>17</v>
      </c>
      <c r="S29" t="s">
        <v>17</v>
      </c>
    </row>
    <row r="30" spans="1:19" x14ac:dyDescent="0.2">
      <c r="A30">
        <v>2</v>
      </c>
      <c r="B30" t="s">
        <v>39</v>
      </c>
      <c r="C30">
        <v>14</v>
      </c>
      <c r="D30" t="s">
        <v>18</v>
      </c>
      <c r="E30" t="s">
        <v>37</v>
      </c>
      <c r="F30" t="s">
        <v>17</v>
      </c>
      <c r="G30" t="s">
        <v>17</v>
      </c>
      <c r="H30" t="s">
        <v>17</v>
      </c>
      <c r="I30" t="s">
        <v>17</v>
      </c>
      <c r="J30" s="4" t="s">
        <v>17</v>
      </c>
      <c r="K30" t="s">
        <v>17</v>
      </c>
      <c r="L30" t="s">
        <v>17</v>
      </c>
      <c r="M30" t="s">
        <v>17</v>
      </c>
      <c r="N30" s="4" t="s">
        <v>17</v>
      </c>
      <c r="O30" s="2" t="s">
        <v>17</v>
      </c>
      <c r="P30" t="s">
        <v>17</v>
      </c>
      <c r="Q30" t="s">
        <v>17</v>
      </c>
      <c r="R30" t="s">
        <v>17</v>
      </c>
      <c r="S30" t="s">
        <v>17</v>
      </c>
    </row>
    <row r="31" spans="1:19" x14ac:dyDescent="0.2">
      <c r="A31">
        <v>2</v>
      </c>
      <c r="B31" t="s">
        <v>40</v>
      </c>
      <c r="C31">
        <v>15</v>
      </c>
      <c r="D31" t="s">
        <v>18</v>
      </c>
      <c r="E31" t="s">
        <v>37</v>
      </c>
      <c r="F31" t="s">
        <v>17</v>
      </c>
      <c r="G31" t="s">
        <v>17</v>
      </c>
      <c r="H31" t="s">
        <v>17</v>
      </c>
      <c r="I31" t="s">
        <v>17</v>
      </c>
      <c r="J31" s="4" t="s">
        <v>17</v>
      </c>
      <c r="K31" t="s">
        <v>17</v>
      </c>
      <c r="L31" t="s">
        <v>17</v>
      </c>
      <c r="M31" t="s">
        <v>17</v>
      </c>
      <c r="N31" s="4" t="s">
        <v>17</v>
      </c>
      <c r="O31" s="2" t="s">
        <v>17</v>
      </c>
      <c r="P31" t="s">
        <v>17</v>
      </c>
      <c r="Q31" t="s">
        <v>17</v>
      </c>
      <c r="R31" t="s">
        <v>17</v>
      </c>
      <c r="S31" t="s">
        <v>17</v>
      </c>
    </row>
    <row r="32" spans="1:19" x14ac:dyDescent="0.2">
      <c r="A32">
        <v>3</v>
      </c>
      <c r="B32" t="s">
        <v>14</v>
      </c>
      <c r="C32">
        <v>1</v>
      </c>
      <c r="D32" t="s">
        <v>18</v>
      </c>
      <c r="E32" t="s">
        <v>16</v>
      </c>
      <c r="F32" t="s">
        <v>17</v>
      </c>
      <c r="G32" t="s">
        <v>17</v>
      </c>
      <c r="H32" t="s">
        <v>17</v>
      </c>
      <c r="I32">
        <v>10</v>
      </c>
      <c r="J32" s="4">
        <v>5.65</v>
      </c>
      <c r="K32">
        <v>7.4</v>
      </c>
      <c r="L32">
        <v>0.30617868100000001</v>
      </c>
      <c r="M32" s="4" t="s">
        <v>17</v>
      </c>
      <c r="N32" s="4">
        <v>1.6</v>
      </c>
      <c r="O32" s="2">
        <v>0</v>
      </c>
      <c r="P32" s="2">
        <v>0</v>
      </c>
      <c r="Q32" s="2">
        <v>0</v>
      </c>
      <c r="R32" s="2">
        <v>0.05</v>
      </c>
      <c r="S32">
        <f t="shared" si="0"/>
        <v>0.05</v>
      </c>
    </row>
    <row r="33" spans="1:19" x14ac:dyDescent="0.2">
      <c r="A33">
        <v>3</v>
      </c>
      <c r="B33" t="s">
        <v>20</v>
      </c>
      <c r="C33">
        <v>2</v>
      </c>
      <c r="D33" t="s">
        <v>18</v>
      </c>
      <c r="E33" t="s">
        <v>16</v>
      </c>
      <c r="F33" t="s">
        <v>17</v>
      </c>
      <c r="G33" t="s">
        <v>17</v>
      </c>
      <c r="H33" t="s">
        <v>17</v>
      </c>
      <c r="I33">
        <v>10</v>
      </c>
      <c r="J33" s="4">
        <v>5</v>
      </c>
      <c r="K33">
        <v>7.75</v>
      </c>
      <c r="L33">
        <v>0.31402533500000002</v>
      </c>
      <c r="M33" s="4" t="s">
        <v>17</v>
      </c>
      <c r="N33" s="4">
        <v>1.4</v>
      </c>
      <c r="O33" s="2">
        <v>0</v>
      </c>
      <c r="P33" s="2">
        <v>0.01</v>
      </c>
      <c r="Q33" s="2">
        <v>0</v>
      </c>
      <c r="R33" s="2">
        <v>7.0000000000000007E-2</v>
      </c>
      <c r="S33">
        <f t="shared" si="0"/>
        <v>0.08</v>
      </c>
    </row>
    <row r="34" spans="1:19" x14ac:dyDescent="0.2">
      <c r="A34">
        <v>3</v>
      </c>
      <c r="B34" t="s">
        <v>21</v>
      </c>
      <c r="C34">
        <v>3</v>
      </c>
      <c r="D34" t="s">
        <v>18</v>
      </c>
      <c r="E34" t="s">
        <v>22</v>
      </c>
      <c r="F34" t="s">
        <v>17</v>
      </c>
      <c r="G34" t="s">
        <v>17</v>
      </c>
      <c r="H34" t="s">
        <v>17</v>
      </c>
      <c r="I34">
        <v>10</v>
      </c>
      <c r="J34" s="4">
        <v>5.2</v>
      </c>
      <c r="K34">
        <v>7.8</v>
      </c>
      <c r="L34">
        <v>0.315539664</v>
      </c>
      <c r="M34" s="4" t="s">
        <v>17</v>
      </c>
      <c r="N34" s="4">
        <v>1.6</v>
      </c>
      <c r="O34" s="2">
        <v>0.01</v>
      </c>
      <c r="P34" s="2">
        <v>0.05</v>
      </c>
      <c r="Q34" s="2">
        <v>0.02</v>
      </c>
      <c r="R34" s="2">
        <v>0.08</v>
      </c>
      <c r="S34">
        <f t="shared" si="0"/>
        <v>0.16</v>
      </c>
    </row>
    <row r="35" spans="1:19" x14ac:dyDescent="0.2">
      <c r="A35">
        <v>3</v>
      </c>
      <c r="B35" t="s">
        <v>23</v>
      </c>
      <c r="C35">
        <v>4</v>
      </c>
      <c r="D35" t="s">
        <v>18</v>
      </c>
      <c r="E35" t="s">
        <v>22</v>
      </c>
      <c r="F35" t="s">
        <v>17</v>
      </c>
      <c r="G35" t="s">
        <v>17</v>
      </c>
      <c r="H35" t="s">
        <v>17</v>
      </c>
      <c r="I35">
        <v>10</v>
      </c>
      <c r="J35" s="4">
        <v>7.7</v>
      </c>
      <c r="K35">
        <v>7.2</v>
      </c>
      <c r="L35">
        <v>0.31574003899999997</v>
      </c>
      <c r="M35">
        <v>8.6</v>
      </c>
      <c r="N35" s="4">
        <v>1.4</v>
      </c>
      <c r="O35" s="2">
        <v>0.02</v>
      </c>
      <c r="P35" s="2">
        <v>7.0000000000000007E-2</v>
      </c>
      <c r="Q35" s="2">
        <v>0.03</v>
      </c>
      <c r="R35" s="2">
        <v>0.08</v>
      </c>
      <c r="S35">
        <f t="shared" si="0"/>
        <v>0.2</v>
      </c>
    </row>
    <row r="36" spans="1:19" x14ac:dyDescent="0.2">
      <c r="A36">
        <v>3</v>
      </c>
      <c r="B36" t="s">
        <v>24</v>
      </c>
      <c r="C36">
        <v>5</v>
      </c>
      <c r="D36" t="s">
        <v>18</v>
      </c>
      <c r="E36" t="s">
        <v>25</v>
      </c>
      <c r="F36">
        <v>0.69368192200000001</v>
      </c>
      <c r="G36" s="1">
        <v>-1.9600000000000001E-7</v>
      </c>
      <c r="H36" s="1">
        <v>-2.7099999999999997E-4</v>
      </c>
      <c r="I36">
        <v>16</v>
      </c>
      <c r="J36" s="4">
        <v>8.9</v>
      </c>
      <c r="K36">
        <v>7.1</v>
      </c>
      <c r="L36">
        <v>0.31803988</v>
      </c>
      <c r="M36">
        <v>10.1</v>
      </c>
      <c r="N36" s="4">
        <v>1.6</v>
      </c>
      <c r="O36" s="2">
        <v>0.03</v>
      </c>
      <c r="P36" s="2">
        <v>0.1</v>
      </c>
      <c r="Q36" s="2">
        <v>0.03</v>
      </c>
      <c r="R36" s="2">
        <v>0.08</v>
      </c>
      <c r="S36">
        <f t="shared" si="0"/>
        <v>0.24</v>
      </c>
    </row>
    <row r="37" spans="1:19" x14ac:dyDescent="0.2">
      <c r="A37">
        <v>3</v>
      </c>
      <c r="B37" t="s">
        <v>26</v>
      </c>
      <c r="C37">
        <v>6</v>
      </c>
      <c r="D37" t="s">
        <v>18</v>
      </c>
      <c r="E37" t="s">
        <v>27</v>
      </c>
      <c r="F37">
        <v>2.0027763279999999</v>
      </c>
      <c r="G37" s="1">
        <v>-1.7500000000000001E-8</v>
      </c>
      <c r="H37" s="1">
        <v>-2.4300000000000001E-5</v>
      </c>
      <c r="I37">
        <v>16</v>
      </c>
      <c r="J37" s="4">
        <v>8.9</v>
      </c>
      <c r="K37">
        <v>6.95</v>
      </c>
      <c r="L37">
        <v>0.323033142</v>
      </c>
      <c r="M37">
        <v>11</v>
      </c>
      <c r="N37" s="4">
        <v>1.2</v>
      </c>
      <c r="O37" s="2">
        <v>0.05</v>
      </c>
      <c r="P37" s="2">
        <v>0.15</v>
      </c>
      <c r="Q37" s="2">
        <v>0.06</v>
      </c>
      <c r="R37" s="2">
        <v>0.08</v>
      </c>
      <c r="S37">
        <f t="shared" si="0"/>
        <v>0.34</v>
      </c>
    </row>
    <row r="38" spans="1:19" x14ac:dyDescent="0.2">
      <c r="A38">
        <v>3</v>
      </c>
      <c r="B38" t="s">
        <v>28</v>
      </c>
      <c r="C38">
        <v>7</v>
      </c>
      <c r="D38" t="s">
        <v>18</v>
      </c>
      <c r="E38" t="s">
        <v>29</v>
      </c>
      <c r="F38" t="s">
        <v>17</v>
      </c>
      <c r="G38" t="s">
        <v>17</v>
      </c>
      <c r="H38" t="s">
        <v>17</v>
      </c>
      <c r="I38">
        <v>6.625</v>
      </c>
      <c r="J38" s="4">
        <v>9.15</v>
      </c>
      <c r="K38">
        <v>7.2</v>
      </c>
      <c r="L38">
        <v>0.32865496700000002</v>
      </c>
      <c r="M38">
        <v>15.8</v>
      </c>
      <c r="N38" s="4">
        <v>0.4</v>
      </c>
      <c r="O38" s="2">
        <v>0.1</v>
      </c>
      <c r="P38" s="2">
        <v>0.18</v>
      </c>
      <c r="Q38" s="2">
        <v>0.1</v>
      </c>
      <c r="R38" s="2">
        <v>0.06</v>
      </c>
      <c r="S38">
        <f t="shared" si="0"/>
        <v>0.44</v>
      </c>
    </row>
    <row r="39" spans="1:19" x14ac:dyDescent="0.2">
      <c r="A39">
        <v>3</v>
      </c>
      <c r="B39" t="s">
        <v>30</v>
      </c>
      <c r="C39">
        <v>8</v>
      </c>
      <c r="D39" t="s">
        <v>18</v>
      </c>
      <c r="E39" t="s">
        <v>29</v>
      </c>
      <c r="F39" t="s">
        <v>17</v>
      </c>
      <c r="G39" t="s">
        <v>17</v>
      </c>
      <c r="H39" t="s">
        <v>17</v>
      </c>
      <c r="I39">
        <v>6.625</v>
      </c>
      <c r="J39" s="4">
        <v>8.9499999999999993</v>
      </c>
      <c r="K39">
        <v>6.95</v>
      </c>
      <c r="L39">
        <v>0.33758411500000002</v>
      </c>
      <c r="M39">
        <v>17.5</v>
      </c>
      <c r="N39" s="4">
        <v>1.6</v>
      </c>
      <c r="O39" s="2">
        <v>0.2</v>
      </c>
      <c r="P39" s="2">
        <v>0.18</v>
      </c>
      <c r="Q39" s="2">
        <v>0.11</v>
      </c>
      <c r="R39" s="2">
        <v>0.05</v>
      </c>
      <c r="S39">
        <f t="shared" si="0"/>
        <v>0.54</v>
      </c>
    </row>
    <row r="40" spans="1:19" x14ac:dyDescent="0.2">
      <c r="A40">
        <v>3</v>
      </c>
      <c r="B40" t="s">
        <v>31</v>
      </c>
      <c r="C40">
        <v>9</v>
      </c>
      <c r="D40" t="s">
        <v>18</v>
      </c>
      <c r="E40" t="s">
        <v>29</v>
      </c>
      <c r="F40">
        <v>1.1861362390000001</v>
      </c>
      <c r="G40" s="1">
        <v>-1.08E-7</v>
      </c>
      <c r="H40" s="1">
        <v>-1.4899999999999999E-4</v>
      </c>
      <c r="I40">
        <v>4.75</v>
      </c>
      <c r="J40" s="4">
        <v>9.6999999999999993</v>
      </c>
      <c r="K40">
        <v>7.2</v>
      </c>
      <c r="L40">
        <v>0.32594324000000002</v>
      </c>
      <c r="M40">
        <v>19.100000000000001</v>
      </c>
      <c r="N40" s="4">
        <v>1</v>
      </c>
      <c r="O40" s="2">
        <v>0.22</v>
      </c>
      <c r="P40" s="2">
        <v>0.2</v>
      </c>
      <c r="Q40" s="2">
        <v>0.12</v>
      </c>
      <c r="R40" s="2">
        <v>0.04</v>
      </c>
      <c r="S40">
        <f t="shared" si="0"/>
        <v>0.58000000000000007</v>
      </c>
    </row>
    <row r="41" spans="1:19" x14ac:dyDescent="0.2">
      <c r="A41">
        <v>3</v>
      </c>
      <c r="B41" t="s">
        <v>34</v>
      </c>
      <c r="C41">
        <v>10</v>
      </c>
      <c r="D41" t="s">
        <v>18</v>
      </c>
      <c r="E41" t="s">
        <v>33</v>
      </c>
      <c r="F41" t="s">
        <v>17</v>
      </c>
      <c r="G41" t="s">
        <v>17</v>
      </c>
      <c r="H41" t="s">
        <v>17</v>
      </c>
      <c r="I41">
        <v>2.5</v>
      </c>
      <c r="J41" s="4">
        <v>9.0500000000000007</v>
      </c>
      <c r="K41">
        <v>7</v>
      </c>
      <c r="L41">
        <v>0.319896876</v>
      </c>
      <c r="M41">
        <v>19.2</v>
      </c>
      <c r="N41" s="4">
        <v>1</v>
      </c>
      <c r="O41" s="2">
        <v>0.2</v>
      </c>
      <c r="P41" s="2">
        <v>0.2</v>
      </c>
      <c r="Q41" s="2">
        <v>0.12</v>
      </c>
      <c r="R41" s="2">
        <v>0.04</v>
      </c>
      <c r="S41">
        <f t="shared" si="0"/>
        <v>0.56000000000000005</v>
      </c>
    </row>
    <row r="42" spans="1:19" x14ac:dyDescent="0.2">
      <c r="A42">
        <v>3</v>
      </c>
      <c r="B42" t="s">
        <v>35</v>
      </c>
      <c r="C42">
        <v>11</v>
      </c>
      <c r="D42" t="s">
        <v>18</v>
      </c>
      <c r="E42" t="s">
        <v>33</v>
      </c>
      <c r="F42">
        <v>0.89621449099999995</v>
      </c>
      <c r="G42" s="1">
        <v>-2.51E-8</v>
      </c>
      <c r="H42" s="1">
        <v>-3.4799999999999999E-5</v>
      </c>
      <c r="I42">
        <v>0.5</v>
      </c>
      <c r="J42" s="4">
        <v>9.5</v>
      </c>
      <c r="K42">
        <v>7</v>
      </c>
      <c r="L42">
        <v>0.318811487</v>
      </c>
      <c r="M42">
        <v>18.600000000000001</v>
      </c>
      <c r="N42" s="4">
        <v>1</v>
      </c>
      <c r="O42" s="2">
        <v>0.18</v>
      </c>
      <c r="P42" s="2">
        <v>0.2</v>
      </c>
      <c r="Q42" s="2">
        <v>0.12</v>
      </c>
      <c r="R42" s="2">
        <v>0.04</v>
      </c>
      <c r="S42">
        <f t="shared" si="0"/>
        <v>0.54</v>
      </c>
    </row>
    <row r="43" spans="1:19" x14ac:dyDescent="0.2">
      <c r="A43">
        <v>3</v>
      </c>
      <c r="B43" t="s">
        <v>36</v>
      </c>
      <c r="C43">
        <v>12</v>
      </c>
      <c r="D43" t="s">
        <v>18</v>
      </c>
      <c r="E43" t="s">
        <v>37</v>
      </c>
      <c r="F43" t="s">
        <v>17</v>
      </c>
      <c r="G43" t="s">
        <v>17</v>
      </c>
      <c r="H43" t="s">
        <v>17</v>
      </c>
      <c r="I43">
        <v>-1.5</v>
      </c>
      <c r="J43" s="4">
        <v>9.1999999999999993</v>
      </c>
      <c r="K43">
        <v>7.45</v>
      </c>
      <c r="L43">
        <v>0.31512347600000001</v>
      </c>
      <c r="M43">
        <v>18.600000000000001</v>
      </c>
      <c r="N43" s="4">
        <v>14.8</v>
      </c>
      <c r="O43" s="2">
        <v>0.15</v>
      </c>
      <c r="P43" s="2">
        <v>0.2</v>
      </c>
      <c r="Q43" s="2">
        <v>0.12</v>
      </c>
      <c r="R43" s="2">
        <v>0.04</v>
      </c>
      <c r="S43">
        <f t="shared" si="0"/>
        <v>0.51</v>
      </c>
    </row>
    <row r="44" spans="1:19" x14ac:dyDescent="0.2">
      <c r="A44">
        <v>3</v>
      </c>
      <c r="B44" t="s">
        <v>38</v>
      </c>
      <c r="C44">
        <v>13</v>
      </c>
      <c r="D44" t="s">
        <v>18</v>
      </c>
      <c r="E44" t="s">
        <v>37</v>
      </c>
      <c r="F44" t="s">
        <v>17</v>
      </c>
      <c r="G44" t="s">
        <v>17</v>
      </c>
      <c r="H44" t="s">
        <v>17</v>
      </c>
      <c r="I44" t="s">
        <v>17</v>
      </c>
      <c r="J44" s="4" t="s">
        <v>17</v>
      </c>
      <c r="K44" t="s">
        <v>17</v>
      </c>
      <c r="L44" t="s">
        <v>17</v>
      </c>
      <c r="M44" t="s">
        <v>17</v>
      </c>
      <c r="N44" s="4" t="s">
        <v>17</v>
      </c>
      <c r="O44" s="2" t="s">
        <v>17</v>
      </c>
      <c r="P44" t="s">
        <v>17</v>
      </c>
      <c r="Q44" t="s">
        <v>17</v>
      </c>
      <c r="R44" t="s">
        <v>17</v>
      </c>
      <c r="S44" t="s">
        <v>17</v>
      </c>
    </row>
    <row r="45" spans="1:19" x14ac:dyDescent="0.2">
      <c r="A45">
        <v>3</v>
      </c>
      <c r="B45" t="s">
        <v>39</v>
      </c>
      <c r="C45">
        <v>14</v>
      </c>
      <c r="D45" t="s">
        <v>18</v>
      </c>
      <c r="E45" t="s">
        <v>37</v>
      </c>
      <c r="F45" t="s">
        <v>17</v>
      </c>
      <c r="G45" t="s">
        <v>17</v>
      </c>
      <c r="H45" t="s">
        <v>17</v>
      </c>
      <c r="I45" t="s">
        <v>17</v>
      </c>
      <c r="J45" s="4" t="s">
        <v>17</v>
      </c>
      <c r="K45" t="s">
        <v>17</v>
      </c>
      <c r="L45" t="s">
        <v>17</v>
      </c>
      <c r="M45" t="s">
        <v>17</v>
      </c>
      <c r="N45" s="4" t="s">
        <v>17</v>
      </c>
      <c r="O45" s="2" t="s">
        <v>17</v>
      </c>
      <c r="P45" t="s">
        <v>17</v>
      </c>
      <c r="Q45" t="s">
        <v>17</v>
      </c>
      <c r="R45" t="s">
        <v>17</v>
      </c>
      <c r="S45" t="s">
        <v>17</v>
      </c>
    </row>
    <row r="46" spans="1:19" x14ac:dyDescent="0.2">
      <c r="A46">
        <v>3</v>
      </c>
      <c r="B46" t="s">
        <v>40</v>
      </c>
      <c r="C46">
        <v>15</v>
      </c>
      <c r="D46" t="s">
        <v>18</v>
      </c>
      <c r="E46" t="s">
        <v>37</v>
      </c>
      <c r="F46" t="s">
        <v>17</v>
      </c>
      <c r="G46" t="s">
        <v>17</v>
      </c>
      <c r="H46" t="s">
        <v>17</v>
      </c>
      <c r="I46" t="s">
        <v>17</v>
      </c>
      <c r="J46" s="4" t="s">
        <v>17</v>
      </c>
      <c r="K46" t="s">
        <v>17</v>
      </c>
      <c r="L46" t="s">
        <v>17</v>
      </c>
      <c r="M46" t="s">
        <v>17</v>
      </c>
      <c r="N46" s="4" t="s">
        <v>17</v>
      </c>
      <c r="O46" s="2" t="s">
        <v>17</v>
      </c>
      <c r="P46" t="s">
        <v>17</v>
      </c>
      <c r="Q46" t="s">
        <v>17</v>
      </c>
      <c r="R46" t="s">
        <v>17</v>
      </c>
      <c r="S46" t="s">
        <v>17</v>
      </c>
    </row>
    <row r="47" spans="1:19" x14ac:dyDescent="0.2">
      <c r="A47">
        <v>4</v>
      </c>
      <c r="B47" t="s">
        <v>14</v>
      </c>
      <c r="C47">
        <v>1</v>
      </c>
      <c r="D47" t="s">
        <v>19</v>
      </c>
      <c r="E47" t="s">
        <v>16</v>
      </c>
      <c r="F47" t="s">
        <v>17</v>
      </c>
      <c r="G47" t="s">
        <v>17</v>
      </c>
      <c r="H47" t="s">
        <v>17</v>
      </c>
      <c r="I47">
        <v>10</v>
      </c>
      <c r="J47" s="4">
        <v>5.8</v>
      </c>
      <c r="K47">
        <v>7.4</v>
      </c>
      <c r="L47">
        <v>0.30585291599999997</v>
      </c>
      <c r="M47" s="4" t="s">
        <v>17</v>
      </c>
      <c r="N47" s="4">
        <v>1</v>
      </c>
      <c r="O47" s="2">
        <v>0.03</v>
      </c>
      <c r="P47" s="2">
        <v>0.01</v>
      </c>
      <c r="Q47" s="2">
        <v>0</v>
      </c>
      <c r="R47" s="2">
        <v>0.02</v>
      </c>
      <c r="S47">
        <f t="shared" si="0"/>
        <v>0.06</v>
      </c>
    </row>
    <row r="48" spans="1:19" x14ac:dyDescent="0.2">
      <c r="A48">
        <v>4</v>
      </c>
      <c r="B48" t="s">
        <v>20</v>
      </c>
      <c r="C48">
        <v>2</v>
      </c>
      <c r="D48" t="s">
        <v>19</v>
      </c>
      <c r="E48" t="s">
        <v>16</v>
      </c>
      <c r="F48" t="s">
        <v>17</v>
      </c>
      <c r="G48" t="s">
        <v>17</v>
      </c>
      <c r="H48" t="s">
        <v>17</v>
      </c>
      <c r="I48">
        <v>10</v>
      </c>
      <c r="J48" s="4">
        <v>6.85</v>
      </c>
      <c r="K48">
        <v>7.4</v>
      </c>
      <c r="L48">
        <v>0.30910046699999999</v>
      </c>
      <c r="M48" s="4" t="s">
        <v>17</v>
      </c>
      <c r="N48" s="4">
        <v>1.2</v>
      </c>
      <c r="O48" s="2">
        <v>0.05</v>
      </c>
      <c r="P48" s="2">
        <v>0.02</v>
      </c>
      <c r="Q48" s="2">
        <v>0</v>
      </c>
      <c r="R48" s="2">
        <v>0.03</v>
      </c>
      <c r="S48">
        <f t="shared" si="0"/>
        <v>0.1</v>
      </c>
    </row>
    <row r="49" spans="1:19" x14ac:dyDescent="0.2">
      <c r="A49">
        <v>4</v>
      </c>
      <c r="B49" t="s">
        <v>21</v>
      </c>
      <c r="C49">
        <v>3</v>
      </c>
      <c r="D49" t="s">
        <v>19</v>
      </c>
      <c r="E49" t="s">
        <v>22</v>
      </c>
      <c r="F49" t="s">
        <v>17</v>
      </c>
      <c r="G49" t="s">
        <v>17</v>
      </c>
      <c r="H49" t="s">
        <v>17</v>
      </c>
      <c r="I49">
        <v>10</v>
      </c>
      <c r="J49" s="4">
        <v>6.95</v>
      </c>
      <c r="K49">
        <v>7.6</v>
      </c>
      <c r="L49">
        <v>0.316207984</v>
      </c>
      <c r="M49" t="s">
        <v>17</v>
      </c>
      <c r="N49" s="4">
        <v>1.4</v>
      </c>
      <c r="O49" s="2">
        <v>0.1</v>
      </c>
      <c r="P49" s="2">
        <v>0.15</v>
      </c>
      <c r="Q49" s="2">
        <v>0</v>
      </c>
      <c r="R49" s="2">
        <v>0.02</v>
      </c>
      <c r="S49">
        <f t="shared" si="0"/>
        <v>0.27</v>
      </c>
    </row>
    <row r="50" spans="1:19" x14ac:dyDescent="0.2">
      <c r="A50">
        <v>4</v>
      </c>
      <c r="B50" t="s">
        <v>23</v>
      </c>
      <c r="C50">
        <v>4</v>
      </c>
      <c r="D50" t="s">
        <v>19</v>
      </c>
      <c r="E50" t="s">
        <v>22</v>
      </c>
      <c r="F50" t="s">
        <v>17</v>
      </c>
      <c r="G50" t="s">
        <v>17</v>
      </c>
      <c r="H50" t="s">
        <v>17</v>
      </c>
      <c r="I50">
        <v>10</v>
      </c>
      <c r="J50" s="4">
        <v>9</v>
      </c>
      <c r="K50">
        <v>7</v>
      </c>
      <c r="L50">
        <v>0.32235861100000002</v>
      </c>
      <c r="M50">
        <v>16.8</v>
      </c>
      <c r="N50" s="4">
        <v>1.6</v>
      </c>
      <c r="O50" s="2">
        <v>0.12</v>
      </c>
      <c r="P50" s="2">
        <v>0.2</v>
      </c>
      <c r="Q50" s="2">
        <v>0</v>
      </c>
      <c r="R50" s="2">
        <v>0.01</v>
      </c>
      <c r="S50">
        <f t="shared" si="0"/>
        <v>0.33</v>
      </c>
    </row>
    <row r="51" spans="1:19" x14ac:dyDescent="0.2">
      <c r="A51">
        <v>4</v>
      </c>
      <c r="B51" t="s">
        <v>24</v>
      </c>
      <c r="C51">
        <v>5</v>
      </c>
      <c r="D51" t="s">
        <v>19</v>
      </c>
      <c r="E51" t="s">
        <v>25</v>
      </c>
      <c r="F51" t="s">
        <v>17</v>
      </c>
      <c r="G51" t="s">
        <v>17</v>
      </c>
      <c r="H51" t="s">
        <v>17</v>
      </c>
      <c r="I51">
        <v>10</v>
      </c>
      <c r="J51" s="4">
        <v>8.25</v>
      </c>
      <c r="K51">
        <v>7</v>
      </c>
      <c r="L51">
        <v>0.32869020799999998</v>
      </c>
      <c r="M51">
        <v>21.8</v>
      </c>
      <c r="N51" s="4">
        <v>1.4</v>
      </c>
      <c r="O51" s="2">
        <v>0.15</v>
      </c>
      <c r="P51" s="2">
        <v>0.23</v>
      </c>
      <c r="Q51" s="2">
        <v>0</v>
      </c>
      <c r="R51" s="2">
        <v>0.01</v>
      </c>
      <c r="S51">
        <f t="shared" si="0"/>
        <v>0.39</v>
      </c>
    </row>
    <row r="52" spans="1:19" x14ac:dyDescent="0.2">
      <c r="A52">
        <v>4</v>
      </c>
      <c r="B52" t="s">
        <v>26</v>
      </c>
      <c r="C52">
        <v>6</v>
      </c>
      <c r="D52" t="s">
        <v>19</v>
      </c>
      <c r="E52" t="s">
        <v>27</v>
      </c>
      <c r="F52">
        <v>2.090546206</v>
      </c>
      <c r="G52" s="1">
        <v>-1.6700000000000001E-8</v>
      </c>
      <c r="H52" s="1">
        <v>-2.3099999999999999E-5</v>
      </c>
      <c r="I52">
        <v>10</v>
      </c>
      <c r="J52" s="4">
        <v>7.55</v>
      </c>
      <c r="K52">
        <v>7</v>
      </c>
      <c r="L52">
        <v>0.33249969699999998</v>
      </c>
      <c r="M52">
        <v>24</v>
      </c>
      <c r="N52" s="4">
        <v>1.8</v>
      </c>
      <c r="O52" s="2">
        <v>0.18</v>
      </c>
      <c r="P52" s="2">
        <v>0.25</v>
      </c>
      <c r="Q52" s="2">
        <v>0</v>
      </c>
      <c r="R52" s="2">
        <v>0.01</v>
      </c>
      <c r="S52">
        <f t="shared" si="0"/>
        <v>0.44</v>
      </c>
    </row>
    <row r="53" spans="1:19" x14ac:dyDescent="0.2">
      <c r="A53">
        <v>4</v>
      </c>
      <c r="B53" t="s">
        <v>28</v>
      </c>
      <c r="C53">
        <v>7</v>
      </c>
      <c r="D53" t="s">
        <v>19</v>
      </c>
      <c r="E53" t="s">
        <v>29</v>
      </c>
      <c r="F53" t="s">
        <v>17</v>
      </c>
      <c r="G53" t="s">
        <v>17</v>
      </c>
      <c r="H53" t="s">
        <v>17</v>
      </c>
      <c r="I53">
        <v>6.625</v>
      </c>
      <c r="J53" s="4">
        <v>9.1</v>
      </c>
      <c r="K53">
        <v>7</v>
      </c>
      <c r="L53">
        <v>0.33634840700000002</v>
      </c>
      <c r="M53">
        <v>24.8</v>
      </c>
      <c r="N53" s="4">
        <v>1</v>
      </c>
      <c r="O53" s="2">
        <v>0.25</v>
      </c>
      <c r="P53" s="2">
        <v>0.25</v>
      </c>
      <c r="Q53" s="2">
        <v>0</v>
      </c>
      <c r="R53" s="2">
        <v>0.28000000000000003</v>
      </c>
      <c r="S53">
        <f t="shared" si="0"/>
        <v>0.78</v>
      </c>
    </row>
    <row r="54" spans="1:19" x14ac:dyDescent="0.2">
      <c r="A54">
        <v>4</v>
      </c>
      <c r="B54" t="s">
        <v>30</v>
      </c>
      <c r="C54">
        <v>8</v>
      </c>
      <c r="D54" t="s">
        <v>19</v>
      </c>
      <c r="E54" t="s">
        <v>29</v>
      </c>
      <c r="F54" t="s">
        <v>17</v>
      </c>
      <c r="G54" t="s">
        <v>17</v>
      </c>
      <c r="H54" t="s">
        <v>17</v>
      </c>
      <c r="I54">
        <v>6.625</v>
      </c>
      <c r="J54" s="4">
        <v>8.65</v>
      </c>
      <c r="K54">
        <v>6.95</v>
      </c>
      <c r="L54">
        <v>0.34075191900000001</v>
      </c>
      <c r="M54">
        <v>25.4</v>
      </c>
      <c r="N54" s="4">
        <v>2</v>
      </c>
      <c r="O54" s="2">
        <v>0.27</v>
      </c>
      <c r="P54" s="2">
        <v>0.25</v>
      </c>
      <c r="Q54" s="2">
        <v>0</v>
      </c>
      <c r="R54" s="2">
        <v>0.01</v>
      </c>
      <c r="S54">
        <f t="shared" si="0"/>
        <v>0.53</v>
      </c>
    </row>
    <row r="55" spans="1:19" x14ac:dyDescent="0.2">
      <c r="A55">
        <v>4</v>
      </c>
      <c r="B55" t="s">
        <v>31</v>
      </c>
      <c r="C55">
        <v>9</v>
      </c>
      <c r="D55" t="s">
        <v>19</v>
      </c>
      <c r="E55" t="s">
        <v>29</v>
      </c>
      <c r="F55">
        <v>1.655950391</v>
      </c>
      <c r="G55" s="1">
        <v>-3.3600000000000003E-8</v>
      </c>
      <c r="H55" s="1">
        <v>-4.6499999999999999E-5</v>
      </c>
      <c r="I55">
        <v>4.75</v>
      </c>
      <c r="J55" s="4">
        <v>8.1999999999999993</v>
      </c>
      <c r="K55">
        <v>7</v>
      </c>
      <c r="L55">
        <v>0.342697166</v>
      </c>
      <c r="M55">
        <v>25.1</v>
      </c>
      <c r="N55" s="4">
        <v>1</v>
      </c>
      <c r="O55" s="2">
        <v>0.3</v>
      </c>
      <c r="P55" s="2">
        <v>0.25</v>
      </c>
      <c r="Q55" s="2">
        <v>0</v>
      </c>
      <c r="R55" s="2">
        <v>0.01</v>
      </c>
      <c r="S55">
        <f t="shared" si="0"/>
        <v>0.56000000000000005</v>
      </c>
    </row>
    <row r="56" spans="1:19" x14ac:dyDescent="0.2">
      <c r="A56">
        <v>4</v>
      </c>
      <c r="B56" t="s">
        <v>32</v>
      </c>
      <c r="C56">
        <v>10</v>
      </c>
      <c r="D56" t="s">
        <v>19</v>
      </c>
      <c r="E56" t="s">
        <v>33</v>
      </c>
      <c r="F56" t="s">
        <v>17</v>
      </c>
      <c r="G56" t="s">
        <v>17</v>
      </c>
      <c r="H56" t="s">
        <v>17</v>
      </c>
      <c r="I56">
        <v>2.5</v>
      </c>
      <c r="J56" s="4" t="s">
        <v>17</v>
      </c>
      <c r="L56">
        <v>0.338965089</v>
      </c>
      <c r="M56">
        <v>25.1</v>
      </c>
      <c r="N56" s="4">
        <v>1</v>
      </c>
      <c r="O56" s="2">
        <v>0.35</v>
      </c>
      <c r="P56" s="2">
        <v>0.25</v>
      </c>
      <c r="Q56" s="2">
        <v>0</v>
      </c>
      <c r="R56" s="2">
        <v>0.01</v>
      </c>
      <c r="S56">
        <f t="shared" si="0"/>
        <v>0.61</v>
      </c>
    </row>
    <row r="57" spans="1:19" x14ac:dyDescent="0.2">
      <c r="A57">
        <v>4</v>
      </c>
      <c r="B57" t="s">
        <v>35</v>
      </c>
      <c r="C57">
        <v>11</v>
      </c>
      <c r="D57" t="s">
        <v>19</v>
      </c>
      <c r="E57" t="s">
        <v>33</v>
      </c>
      <c r="F57">
        <v>1.440285163</v>
      </c>
      <c r="G57" s="1">
        <v>1.8500000000000001E-10</v>
      </c>
      <c r="H57" s="1">
        <v>2.5699999999999999E-7</v>
      </c>
      <c r="I57">
        <v>0.5</v>
      </c>
      <c r="J57" s="4">
        <v>8.9</v>
      </c>
      <c r="K57">
        <v>7.1</v>
      </c>
      <c r="L57">
        <v>0.334461805</v>
      </c>
      <c r="M57">
        <v>25.1</v>
      </c>
      <c r="N57" s="4">
        <v>1</v>
      </c>
      <c r="O57" s="2">
        <v>0.35</v>
      </c>
      <c r="P57" s="2">
        <v>0.25</v>
      </c>
      <c r="Q57" s="2">
        <v>0</v>
      </c>
      <c r="R57" s="2">
        <v>0.01</v>
      </c>
      <c r="S57">
        <f t="shared" si="0"/>
        <v>0.61</v>
      </c>
    </row>
    <row r="58" spans="1:19" x14ac:dyDescent="0.2">
      <c r="A58">
        <v>4</v>
      </c>
      <c r="B58" t="s">
        <v>36</v>
      </c>
      <c r="C58">
        <v>12</v>
      </c>
      <c r="D58" t="s">
        <v>19</v>
      </c>
      <c r="E58" t="s">
        <v>37</v>
      </c>
      <c r="F58" t="s">
        <v>17</v>
      </c>
      <c r="G58" t="s">
        <v>17</v>
      </c>
      <c r="H58" t="s">
        <v>17</v>
      </c>
      <c r="I58">
        <v>-1.5</v>
      </c>
      <c r="J58" s="4">
        <v>8.5</v>
      </c>
      <c r="K58">
        <v>6.95</v>
      </c>
      <c r="L58">
        <v>0.32506651600000003</v>
      </c>
      <c r="M58">
        <v>24.7</v>
      </c>
      <c r="N58" s="4">
        <v>14.6</v>
      </c>
      <c r="O58" s="2">
        <v>0.32</v>
      </c>
      <c r="P58" s="2">
        <v>0.25</v>
      </c>
      <c r="Q58" s="2">
        <v>0</v>
      </c>
      <c r="R58" s="2">
        <v>0.01</v>
      </c>
      <c r="S58">
        <f t="shared" si="0"/>
        <v>0.58000000000000007</v>
      </c>
    </row>
    <row r="59" spans="1:19" x14ac:dyDescent="0.2">
      <c r="A59">
        <v>4</v>
      </c>
      <c r="B59" t="s">
        <v>38</v>
      </c>
      <c r="C59">
        <v>13</v>
      </c>
      <c r="D59" t="s">
        <v>19</v>
      </c>
      <c r="E59" t="s">
        <v>37</v>
      </c>
      <c r="F59" t="s">
        <v>17</v>
      </c>
      <c r="G59" t="s">
        <v>17</v>
      </c>
      <c r="H59" t="s">
        <v>17</v>
      </c>
      <c r="I59" t="s">
        <v>17</v>
      </c>
      <c r="J59" s="4" t="s">
        <v>17</v>
      </c>
      <c r="K59" t="s">
        <v>17</v>
      </c>
      <c r="L59" t="s">
        <v>17</v>
      </c>
      <c r="M59" t="s">
        <v>17</v>
      </c>
      <c r="N59" s="4" t="s">
        <v>17</v>
      </c>
      <c r="O59" s="2" t="s">
        <v>17</v>
      </c>
      <c r="P59" t="s">
        <v>17</v>
      </c>
      <c r="Q59" t="s">
        <v>17</v>
      </c>
      <c r="R59" t="s">
        <v>17</v>
      </c>
      <c r="S59" t="s">
        <v>17</v>
      </c>
    </row>
    <row r="60" spans="1:19" x14ac:dyDescent="0.2">
      <c r="A60">
        <v>4</v>
      </c>
      <c r="B60" t="s">
        <v>39</v>
      </c>
      <c r="C60">
        <v>14</v>
      </c>
      <c r="D60" t="s">
        <v>19</v>
      </c>
      <c r="E60" t="s">
        <v>37</v>
      </c>
      <c r="F60" t="s">
        <v>17</v>
      </c>
      <c r="G60" t="s">
        <v>17</v>
      </c>
      <c r="H60" t="s">
        <v>17</v>
      </c>
      <c r="I60" t="s">
        <v>17</v>
      </c>
      <c r="J60" s="4" t="s">
        <v>17</v>
      </c>
      <c r="K60" t="s">
        <v>17</v>
      </c>
      <c r="L60" t="s">
        <v>17</v>
      </c>
      <c r="M60" t="s">
        <v>17</v>
      </c>
      <c r="N60" s="4" t="s">
        <v>17</v>
      </c>
      <c r="O60" s="2" t="s">
        <v>17</v>
      </c>
      <c r="P60" t="s">
        <v>17</v>
      </c>
      <c r="Q60" t="s">
        <v>17</v>
      </c>
      <c r="R60" t="s">
        <v>17</v>
      </c>
      <c r="S60" t="s">
        <v>17</v>
      </c>
    </row>
    <row r="61" spans="1:19" x14ac:dyDescent="0.2">
      <c r="A61">
        <v>4</v>
      </c>
      <c r="B61" t="s">
        <v>40</v>
      </c>
      <c r="C61">
        <v>15</v>
      </c>
      <c r="D61" t="s">
        <v>19</v>
      </c>
      <c r="E61" t="s">
        <v>37</v>
      </c>
      <c r="F61" t="s">
        <v>17</v>
      </c>
      <c r="G61" t="s">
        <v>17</v>
      </c>
      <c r="H61" t="s">
        <v>17</v>
      </c>
      <c r="I61" t="s">
        <v>17</v>
      </c>
      <c r="J61" s="4" t="s">
        <v>17</v>
      </c>
      <c r="K61" t="s">
        <v>17</v>
      </c>
      <c r="L61" t="s">
        <v>17</v>
      </c>
      <c r="M61" t="s">
        <v>17</v>
      </c>
      <c r="N61" s="4" t="s">
        <v>17</v>
      </c>
      <c r="O61" s="2" t="s">
        <v>17</v>
      </c>
      <c r="P61" t="s">
        <v>17</v>
      </c>
      <c r="Q61" t="s">
        <v>17</v>
      </c>
      <c r="R61" t="s">
        <v>17</v>
      </c>
      <c r="S61" t="s">
        <v>17</v>
      </c>
    </row>
    <row r="62" spans="1:19" x14ac:dyDescent="0.2">
      <c r="A62">
        <v>5</v>
      </c>
      <c r="B62" t="s">
        <v>14</v>
      </c>
      <c r="C62">
        <v>1</v>
      </c>
      <c r="D62" t="s">
        <v>19</v>
      </c>
      <c r="E62" t="s">
        <v>16</v>
      </c>
      <c r="F62" t="s">
        <v>17</v>
      </c>
      <c r="G62" t="s">
        <v>17</v>
      </c>
      <c r="H62" t="s">
        <v>17</v>
      </c>
      <c r="I62">
        <v>10</v>
      </c>
      <c r="J62" s="4">
        <v>5.0999999999999996</v>
      </c>
      <c r="K62">
        <v>7.5</v>
      </c>
      <c r="L62">
        <v>0.30445856500000001</v>
      </c>
      <c r="M62" s="4" t="s">
        <v>17</v>
      </c>
      <c r="N62" s="4">
        <v>1.4</v>
      </c>
      <c r="O62" s="2">
        <v>0</v>
      </c>
      <c r="P62" s="2">
        <v>0.03</v>
      </c>
      <c r="Q62" s="2">
        <v>0</v>
      </c>
      <c r="R62" s="2">
        <v>0.04</v>
      </c>
      <c r="S62">
        <f t="shared" si="0"/>
        <v>7.0000000000000007E-2</v>
      </c>
    </row>
    <row r="63" spans="1:19" x14ac:dyDescent="0.2">
      <c r="A63">
        <v>5</v>
      </c>
      <c r="B63" t="s">
        <v>20</v>
      </c>
      <c r="C63">
        <v>2</v>
      </c>
      <c r="D63" t="s">
        <v>19</v>
      </c>
      <c r="E63" t="s">
        <v>16</v>
      </c>
      <c r="F63" t="s">
        <v>17</v>
      </c>
      <c r="G63" t="s">
        <v>17</v>
      </c>
      <c r="H63" t="s">
        <v>17</v>
      </c>
      <c r="I63">
        <v>10</v>
      </c>
      <c r="J63" s="4">
        <v>7.1</v>
      </c>
      <c r="K63">
        <v>7.4</v>
      </c>
      <c r="L63">
        <v>0.309872221</v>
      </c>
      <c r="M63" s="4" t="s">
        <v>17</v>
      </c>
      <c r="N63" s="4">
        <v>1.2</v>
      </c>
      <c r="O63" s="2">
        <v>0.01</v>
      </c>
      <c r="P63" s="2">
        <v>0.05</v>
      </c>
      <c r="Q63" s="2">
        <v>0.03</v>
      </c>
      <c r="R63" s="2">
        <v>0.04</v>
      </c>
      <c r="S63">
        <f t="shared" si="0"/>
        <v>0.13</v>
      </c>
    </row>
    <row r="64" spans="1:19" x14ac:dyDescent="0.2">
      <c r="A64">
        <v>5</v>
      </c>
      <c r="B64" t="s">
        <v>21</v>
      </c>
      <c r="C64">
        <v>3</v>
      </c>
      <c r="D64" t="s">
        <v>19</v>
      </c>
      <c r="E64" t="s">
        <v>22</v>
      </c>
      <c r="F64" t="s">
        <v>17</v>
      </c>
      <c r="G64" t="s">
        <v>17</v>
      </c>
      <c r="H64" t="s">
        <v>17</v>
      </c>
      <c r="I64">
        <v>10</v>
      </c>
      <c r="J64" s="4">
        <v>6.9</v>
      </c>
      <c r="K64">
        <v>7.6</v>
      </c>
      <c r="L64">
        <v>0.31218849799999998</v>
      </c>
      <c r="M64" t="s">
        <v>17</v>
      </c>
      <c r="N64" s="4">
        <v>1.6</v>
      </c>
      <c r="O64" s="2">
        <v>0.02</v>
      </c>
      <c r="P64" s="2">
        <v>0.08</v>
      </c>
      <c r="Q64" s="2">
        <v>0.05</v>
      </c>
      <c r="R64" s="2">
        <v>0.03</v>
      </c>
      <c r="S64">
        <f t="shared" si="0"/>
        <v>0.18000000000000002</v>
      </c>
    </row>
    <row r="65" spans="1:19" x14ac:dyDescent="0.2">
      <c r="A65">
        <v>5</v>
      </c>
      <c r="B65" t="s">
        <v>23</v>
      </c>
      <c r="C65">
        <v>4</v>
      </c>
      <c r="D65" t="s">
        <v>19</v>
      </c>
      <c r="E65" t="s">
        <v>22</v>
      </c>
      <c r="F65" t="s">
        <v>17</v>
      </c>
      <c r="G65" t="s">
        <v>17</v>
      </c>
      <c r="H65" t="s">
        <v>17</v>
      </c>
      <c r="I65">
        <v>10</v>
      </c>
      <c r="J65" s="4">
        <v>8.65</v>
      </c>
      <c r="K65">
        <v>7.25</v>
      </c>
      <c r="L65">
        <v>0.31674186799999998</v>
      </c>
      <c r="M65">
        <v>4.2</v>
      </c>
      <c r="N65" s="4">
        <v>1.8</v>
      </c>
      <c r="O65" s="2">
        <v>0.03</v>
      </c>
      <c r="P65" s="2">
        <v>0.18</v>
      </c>
      <c r="Q65" s="2">
        <v>0.1</v>
      </c>
      <c r="R65" s="2">
        <v>0.03</v>
      </c>
      <c r="S65">
        <f t="shared" si="0"/>
        <v>0.33999999999999997</v>
      </c>
    </row>
    <row r="66" spans="1:19" x14ac:dyDescent="0.2">
      <c r="A66">
        <v>5</v>
      </c>
      <c r="B66" t="s">
        <v>24</v>
      </c>
      <c r="C66">
        <v>5</v>
      </c>
      <c r="D66" t="s">
        <v>19</v>
      </c>
      <c r="E66" t="s">
        <v>25</v>
      </c>
      <c r="F66" t="s">
        <v>17</v>
      </c>
      <c r="G66" t="s">
        <v>17</v>
      </c>
      <c r="H66" t="s">
        <v>17</v>
      </c>
      <c r="I66">
        <v>10</v>
      </c>
      <c r="J66" s="4">
        <v>9.4</v>
      </c>
      <c r="K66">
        <v>7.15</v>
      </c>
      <c r="L66">
        <v>0.32123707299999998</v>
      </c>
      <c r="M66">
        <v>13.7</v>
      </c>
      <c r="N66" s="4">
        <v>1.2</v>
      </c>
      <c r="O66" s="2">
        <v>0.06</v>
      </c>
      <c r="P66" s="2">
        <v>0.22</v>
      </c>
      <c r="Q66" s="2">
        <v>0.12</v>
      </c>
      <c r="R66" s="2">
        <v>0.02</v>
      </c>
      <c r="S66">
        <f t="shared" si="0"/>
        <v>0.42000000000000004</v>
      </c>
    </row>
    <row r="67" spans="1:19" x14ac:dyDescent="0.2">
      <c r="A67">
        <v>5</v>
      </c>
      <c r="B67" t="s">
        <v>26</v>
      </c>
      <c r="C67">
        <v>6</v>
      </c>
      <c r="D67" t="s">
        <v>19</v>
      </c>
      <c r="E67" t="s">
        <v>27</v>
      </c>
      <c r="F67">
        <v>1.514392908</v>
      </c>
      <c r="G67" s="1">
        <v>-2.5200000000000001E-8</v>
      </c>
      <c r="H67" s="1">
        <v>-3.4900000000000001E-5</v>
      </c>
      <c r="I67">
        <v>10</v>
      </c>
      <c r="J67" s="4">
        <v>9.6</v>
      </c>
      <c r="K67">
        <v>6.9</v>
      </c>
      <c r="L67">
        <v>0.32067594900000002</v>
      </c>
      <c r="M67">
        <v>15.6</v>
      </c>
      <c r="N67" s="4">
        <v>1.6</v>
      </c>
      <c r="O67" s="2">
        <v>0.06</v>
      </c>
      <c r="P67" s="2">
        <v>0.25</v>
      </c>
      <c r="Q67" s="2">
        <v>0.12</v>
      </c>
      <c r="R67" s="2">
        <v>0.02</v>
      </c>
      <c r="S67">
        <f t="shared" ref="S67:S130" si="1">SUM(O67:R67)</f>
        <v>0.45</v>
      </c>
    </row>
    <row r="68" spans="1:19" x14ac:dyDescent="0.2">
      <c r="A68">
        <v>5</v>
      </c>
      <c r="B68" t="s">
        <v>28</v>
      </c>
      <c r="C68">
        <v>7</v>
      </c>
      <c r="D68" t="s">
        <v>19</v>
      </c>
      <c r="E68" t="s">
        <v>29</v>
      </c>
      <c r="F68" t="s">
        <v>17</v>
      </c>
      <c r="G68" t="s">
        <v>17</v>
      </c>
      <c r="H68" t="s">
        <v>17</v>
      </c>
      <c r="I68">
        <v>6.625</v>
      </c>
      <c r="J68" s="4">
        <v>9.3000000000000007</v>
      </c>
      <c r="K68">
        <v>7.05</v>
      </c>
      <c r="L68">
        <v>0.32385408399999999</v>
      </c>
      <c r="M68">
        <v>16.3</v>
      </c>
      <c r="N68" s="4">
        <v>0.8</v>
      </c>
      <c r="O68" s="2">
        <v>0.08</v>
      </c>
      <c r="P68" s="2">
        <v>0.27</v>
      </c>
      <c r="Q68" s="2">
        <v>0.12</v>
      </c>
      <c r="R68" s="2">
        <v>0.02</v>
      </c>
      <c r="S68">
        <f t="shared" si="1"/>
        <v>0.49000000000000005</v>
      </c>
    </row>
    <row r="69" spans="1:19" x14ac:dyDescent="0.2">
      <c r="A69">
        <v>5</v>
      </c>
      <c r="B69" t="s">
        <v>30</v>
      </c>
      <c r="C69">
        <v>8</v>
      </c>
      <c r="D69" t="s">
        <v>19</v>
      </c>
      <c r="E69" t="s">
        <v>29</v>
      </c>
      <c r="F69" t="s">
        <v>17</v>
      </c>
      <c r="G69" t="s">
        <v>17</v>
      </c>
      <c r="H69" t="s">
        <v>17</v>
      </c>
      <c r="I69">
        <v>6.625</v>
      </c>
      <c r="J69" s="4">
        <v>9.9499999999999993</v>
      </c>
      <c r="K69">
        <v>6.95</v>
      </c>
      <c r="L69">
        <v>0.32279586100000002</v>
      </c>
      <c r="M69">
        <v>18.5</v>
      </c>
      <c r="N69" s="4">
        <v>1.4</v>
      </c>
      <c r="O69" s="2">
        <v>0.09</v>
      </c>
      <c r="P69" s="2">
        <v>0.27</v>
      </c>
      <c r="Q69" s="2">
        <v>0.12</v>
      </c>
      <c r="R69" s="2">
        <v>0.02</v>
      </c>
      <c r="S69">
        <f t="shared" si="1"/>
        <v>0.5</v>
      </c>
    </row>
    <row r="70" spans="1:19" x14ac:dyDescent="0.2">
      <c r="A70">
        <v>5</v>
      </c>
      <c r="B70" t="s">
        <v>31</v>
      </c>
      <c r="C70">
        <v>9</v>
      </c>
      <c r="D70" t="s">
        <v>19</v>
      </c>
      <c r="E70" t="s">
        <v>29</v>
      </c>
      <c r="F70">
        <v>1.114268832</v>
      </c>
      <c r="G70" s="1">
        <v>-4.6100000000000003E-8</v>
      </c>
      <c r="H70" s="1">
        <v>-6.3899999999999995E-5</v>
      </c>
      <c r="I70">
        <v>4.75</v>
      </c>
      <c r="J70" s="4">
        <v>9.9499999999999993</v>
      </c>
      <c r="K70">
        <v>6.95</v>
      </c>
      <c r="L70">
        <v>0.32379069799999999</v>
      </c>
      <c r="M70">
        <v>18.899999999999999</v>
      </c>
      <c r="N70" s="4">
        <v>0.8</v>
      </c>
      <c r="O70" s="2">
        <v>0.1</v>
      </c>
      <c r="P70" s="2">
        <v>0.28000000000000003</v>
      </c>
      <c r="Q70" s="2">
        <v>0.12</v>
      </c>
      <c r="R70" s="2">
        <v>0.01</v>
      </c>
      <c r="S70">
        <f t="shared" si="1"/>
        <v>0.51</v>
      </c>
    </row>
    <row r="71" spans="1:19" x14ac:dyDescent="0.2">
      <c r="A71">
        <v>5</v>
      </c>
      <c r="B71" t="s">
        <v>34</v>
      </c>
      <c r="C71">
        <v>10</v>
      </c>
      <c r="D71" t="s">
        <v>19</v>
      </c>
      <c r="E71" t="s">
        <v>33</v>
      </c>
      <c r="F71" t="s">
        <v>17</v>
      </c>
      <c r="G71" t="s">
        <v>17</v>
      </c>
      <c r="H71" t="s">
        <v>17</v>
      </c>
      <c r="I71">
        <v>2.5</v>
      </c>
      <c r="J71" s="4">
        <v>10</v>
      </c>
      <c r="K71">
        <v>6.75</v>
      </c>
      <c r="L71">
        <v>0.320056534</v>
      </c>
      <c r="M71">
        <v>18.600000000000001</v>
      </c>
      <c r="N71" s="4">
        <v>1</v>
      </c>
      <c r="O71" s="2">
        <v>0.11</v>
      </c>
      <c r="P71" s="2">
        <v>0.28999999999999998</v>
      </c>
      <c r="Q71" s="2">
        <v>0.11</v>
      </c>
      <c r="R71" s="2">
        <v>0.01</v>
      </c>
      <c r="S71">
        <f t="shared" si="1"/>
        <v>0.52</v>
      </c>
    </row>
    <row r="72" spans="1:19" x14ac:dyDescent="0.2">
      <c r="A72">
        <v>5</v>
      </c>
      <c r="B72" t="s">
        <v>35</v>
      </c>
      <c r="C72">
        <v>11</v>
      </c>
      <c r="D72" t="s">
        <v>19</v>
      </c>
      <c r="E72" t="s">
        <v>33</v>
      </c>
      <c r="F72">
        <v>0.84908203400000004</v>
      </c>
      <c r="G72" s="1">
        <v>9.1499999999999992E-9</v>
      </c>
      <c r="H72" s="1">
        <v>1.27E-5</v>
      </c>
      <c r="I72">
        <v>0.5</v>
      </c>
      <c r="J72" s="4">
        <v>9.65</v>
      </c>
      <c r="K72">
        <v>7.15</v>
      </c>
      <c r="L72">
        <v>0.31857829199999999</v>
      </c>
      <c r="M72">
        <v>19.100000000000001</v>
      </c>
      <c r="N72" s="4">
        <v>1</v>
      </c>
      <c r="O72" s="2">
        <v>0.11</v>
      </c>
      <c r="P72" s="2">
        <v>0.28999999999999998</v>
      </c>
      <c r="Q72" s="2">
        <v>0.11</v>
      </c>
      <c r="R72" s="2">
        <v>0.01</v>
      </c>
      <c r="S72">
        <f t="shared" si="1"/>
        <v>0.52</v>
      </c>
    </row>
    <row r="73" spans="1:19" x14ac:dyDescent="0.2">
      <c r="A73">
        <v>5</v>
      </c>
      <c r="B73" t="s">
        <v>36</v>
      </c>
      <c r="C73">
        <v>12</v>
      </c>
      <c r="D73" t="s">
        <v>19</v>
      </c>
      <c r="E73" t="s">
        <v>37</v>
      </c>
      <c r="F73" t="s">
        <v>17</v>
      </c>
      <c r="G73" t="s">
        <v>17</v>
      </c>
      <c r="H73" t="s">
        <v>17</v>
      </c>
      <c r="I73">
        <v>-1.5</v>
      </c>
      <c r="J73" s="4">
        <v>9.4499999999999993</v>
      </c>
      <c r="K73">
        <v>7.1</v>
      </c>
      <c r="L73">
        <v>0.31630591600000002</v>
      </c>
      <c r="M73">
        <v>18.7</v>
      </c>
      <c r="N73" s="4">
        <v>15.2</v>
      </c>
      <c r="O73" s="2">
        <v>0.1</v>
      </c>
      <c r="P73" s="2">
        <v>0.28999999999999998</v>
      </c>
      <c r="Q73" s="2">
        <v>0.08</v>
      </c>
      <c r="R73" s="2">
        <v>0.01</v>
      </c>
      <c r="S73">
        <f t="shared" si="1"/>
        <v>0.48000000000000004</v>
      </c>
    </row>
    <row r="74" spans="1:19" x14ac:dyDescent="0.2">
      <c r="A74">
        <v>5</v>
      </c>
      <c r="B74" t="s">
        <v>38</v>
      </c>
      <c r="C74">
        <v>13</v>
      </c>
      <c r="D74" t="s">
        <v>19</v>
      </c>
      <c r="E74" t="s">
        <v>37</v>
      </c>
      <c r="F74" t="s">
        <v>17</v>
      </c>
      <c r="G74" t="s">
        <v>17</v>
      </c>
      <c r="H74" t="s">
        <v>17</v>
      </c>
      <c r="I74" t="s">
        <v>17</v>
      </c>
      <c r="J74" s="4" t="s">
        <v>17</v>
      </c>
      <c r="K74" t="s">
        <v>17</v>
      </c>
      <c r="L74" t="s">
        <v>17</v>
      </c>
      <c r="M74" s="4" t="s">
        <v>17</v>
      </c>
      <c r="N74" s="4" t="s">
        <v>17</v>
      </c>
      <c r="O74" s="2" t="s">
        <v>17</v>
      </c>
      <c r="P74" t="s">
        <v>17</v>
      </c>
      <c r="Q74" t="s">
        <v>17</v>
      </c>
      <c r="R74" t="s">
        <v>17</v>
      </c>
      <c r="S74" t="s">
        <v>17</v>
      </c>
    </row>
    <row r="75" spans="1:19" x14ac:dyDescent="0.2">
      <c r="A75">
        <v>5</v>
      </c>
      <c r="B75" t="s">
        <v>39</v>
      </c>
      <c r="C75">
        <v>14</v>
      </c>
      <c r="D75" t="s">
        <v>19</v>
      </c>
      <c r="E75" t="s">
        <v>37</v>
      </c>
      <c r="F75" t="s">
        <v>17</v>
      </c>
      <c r="G75" t="s">
        <v>17</v>
      </c>
      <c r="H75" t="s">
        <v>17</v>
      </c>
      <c r="I75" t="s">
        <v>17</v>
      </c>
      <c r="J75" s="4" t="s">
        <v>17</v>
      </c>
      <c r="K75" t="s">
        <v>17</v>
      </c>
      <c r="L75" t="s">
        <v>17</v>
      </c>
      <c r="M75" s="4" t="s">
        <v>17</v>
      </c>
      <c r="N75" s="4" t="s">
        <v>17</v>
      </c>
      <c r="O75" s="2" t="s">
        <v>17</v>
      </c>
      <c r="P75" t="s">
        <v>17</v>
      </c>
      <c r="Q75" t="s">
        <v>17</v>
      </c>
      <c r="R75" t="s">
        <v>17</v>
      </c>
      <c r="S75" t="s">
        <v>17</v>
      </c>
    </row>
    <row r="76" spans="1:19" x14ac:dyDescent="0.2">
      <c r="A76">
        <v>5</v>
      </c>
      <c r="B76" t="s">
        <v>40</v>
      </c>
      <c r="C76">
        <v>15</v>
      </c>
      <c r="D76" t="s">
        <v>19</v>
      </c>
      <c r="E76" t="s">
        <v>37</v>
      </c>
      <c r="F76" t="s">
        <v>17</v>
      </c>
      <c r="G76" t="s">
        <v>17</v>
      </c>
      <c r="H76" t="s">
        <v>17</v>
      </c>
      <c r="I76" t="s">
        <v>17</v>
      </c>
      <c r="J76" s="4" t="s">
        <v>17</v>
      </c>
      <c r="K76" t="s">
        <v>17</v>
      </c>
      <c r="L76" t="s">
        <v>17</v>
      </c>
      <c r="M76" s="4" t="s">
        <v>17</v>
      </c>
      <c r="N76" s="4" t="s">
        <v>17</v>
      </c>
      <c r="O76" s="2" t="s">
        <v>17</v>
      </c>
      <c r="P76" t="s">
        <v>17</v>
      </c>
      <c r="Q76" t="s">
        <v>17</v>
      </c>
      <c r="R76" t="s">
        <v>17</v>
      </c>
      <c r="S76" t="s">
        <v>17</v>
      </c>
    </row>
    <row r="77" spans="1:19" x14ac:dyDescent="0.2">
      <c r="A77">
        <v>6</v>
      </c>
      <c r="B77" t="s">
        <v>14</v>
      </c>
      <c r="C77">
        <v>1</v>
      </c>
      <c r="D77" t="s">
        <v>15</v>
      </c>
      <c r="E77" t="s">
        <v>16</v>
      </c>
      <c r="F77" t="s">
        <v>17</v>
      </c>
      <c r="G77" t="s">
        <v>17</v>
      </c>
      <c r="H77" t="s">
        <v>17</v>
      </c>
      <c r="I77">
        <v>10</v>
      </c>
      <c r="J77" s="4">
        <v>5.6</v>
      </c>
      <c r="K77">
        <v>7.65</v>
      </c>
      <c r="L77">
        <v>0.30702873200000003</v>
      </c>
      <c r="M77" s="4" t="s">
        <v>17</v>
      </c>
      <c r="N77" s="4">
        <v>1.6</v>
      </c>
      <c r="O77" s="2">
        <v>0</v>
      </c>
      <c r="P77" s="2">
        <v>0.02</v>
      </c>
      <c r="Q77" s="2">
        <v>0.01</v>
      </c>
      <c r="R77" s="2">
        <v>0.05</v>
      </c>
      <c r="S77">
        <f t="shared" si="1"/>
        <v>0.08</v>
      </c>
    </row>
    <row r="78" spans="1:19" x14ac:dyDescent="0.2">
      <c r="A78">
        <v>6</v>
      </c>
      <c r="B78" t="s">
        <v>20</v>
      </c>
      <c r="C78">
        <v>2</v>
      </c>
      <c r="D78" t="s">
        <v>15</v>
      </c>
      <c r="E78" t="s">
        <v>16</v>
      </c>
      <c r="F78" t="s">
        <v>17</v>
      </c>
      <c r="G78" t="s">
        <v>17</v>
      </c>
      <c r="H78" t="s">
        <v>17</v>
      </c>
      <c r="I78">
        <v>10</v>
      </c>
      <c r="J78" s="4">
        <v>6.45</v>
      </c>
      <c r="K78">
        <v>7.5</v>
      </c>
      <c r="L78">
        <v>0.31211314699999998</v>
      </c>
      <c r="M78" s="4" t="s">
        <v>17</v>
      </c>
      <c r="N78" s="4">
        <v>1.4</v>
      </c>
      <c r="O78" s="2">
        <v>0.01</v>
      </c>
      <c r="P78" s="2">
        <v>0.05</v>
      </c>
      <c r="Q78" s="2">
        <v>0.03</v>
      </c>
      <c r="R78" s="2">
        <v>0.08</v>
      </c>
      <c r="S78">
        <f t="shared" si="1"/>
        <v>0.16999999999999998</v>
      </c>
    </row>
    <row r="79" spans="1:19" x14ac:dyDescent="0.2">
      <c r="A79">
        <v>6</v>
      </c>
      <c r="B79" t="s">
        <v>21</v>
      </c>
      <c r="C79">
        <v>3</v>
      </c>
      <c r="D79" t="s">
        <v>15</v>
      </c>
      <c r="E79" t="s">
        <v>22</v>
      </c>
      <c r="F79" t="s">
        <v>17</v>
      </c>
      <c r="G79" t="s">
        <v>17</v>
      </c>
      <c r="H79" t="s">
        <v>17</v>
      </c>
      <c r="I79">
        <v>10</v>
      </c>
      <c r="J79" s="4">
        <v>8.1999999999999993</v>
      </c>
      <c r="K79">
        <v>7.5</v>
      </c>
      <c r="L79">
        <v>0.31657432800000002</v>
      </c>
      <c r="M79" t="s">
        <v>17</v>
      </c>
      <c r="N79" s="4">
        <v>1.4</v>
      </c>
      <c r="O79" s="2">
        <v>0.05</v>
      </c>
      <c r="P79" s="2">
        <v>0.1</v>
      </c>
      <c r="Q79" s="2">
        <v>0.08</v>
      </c>
      <c r="R79" s="2">
        <v>0.08</v>
      </c>
      <c r="S79">
        <f t="shared" si="1"/>
        <v>0.31000000000000005</v>
      </c>
    </row>
    <row r="80" spans="1:19" x14ac:dyDescent="0.2">
      <c r="A80">
        <v>6</v>
      </c>
      <c r="B80" t="s">
        <v>23</v>
      </c>
      <c r="C80">
        <v>4</v>
      </c>
      <c r="D80" t="s">
        <v>15</v>
      </c>
      <c r="E80" t="s">
        <v>22</v>
      </c>
      <c r="F80" t="s">
        <v>17</v>
      </c>
      <c r="G80" t="s">
        <v>17</v>
      </c>
      <c r="H80" t="s">
        <v>17</v>
      </c>
      <c r="I80">
        <v>10</v>
      </c>
      <c r="J80" s="4">
        <v>8.0500000000000007</v>
      </c>
      <c r="K80">
        <v>7.3</v>
      </c>
      <c r="L80">
        <v>0.31945080199999998</v>
      </c>
      <c r="M80">
        <v>6.1</v>
      </c>
      <c r="N80" s="4">
        <v>1.4</v>
      </c>
      <c r="O80" s="2">
        <v>0.1</v>
      </c>
      <c r="P80" s="2">
        <v>0.15</v>
      </c>
      <c r="Q80" s="2">
        <v>0.1</v>
      </c>
      <c r="R80" s="2">
        <v>0.08</v>
      </c>
      <c r="S80">
        <f t="shared" si="1"/>
        <v>0.43</v>
      </c>
    </row>
    <row r="81" spans="1:19" x14ac:dyDescent="0.2">
      <c r="A81">
        <v>6</v>
      </c>
      <c r="B81" t="s">
        <v>24</v>
      </c>
      <c r="C81">
        <v>5</v>
      </c>
      <c r="D81" t="s">
        <v>15</v>
      </c>
      <c r="E81" t="s">
        <v>25</v>
      </c>
      <c r="F81">
        <v>0.131653451</v>
      </c>
      <c r="G81" s="1">
        <v>-4.6600000000000002E-7</v>
      </c>
      <c r="H81" s="1">
        <v>-6.4599999999999998E-4</v>
      </c>
      <c r="I81">
        <v>10</v>
      </c>
      <c r="J81" s="4">
        <v>8.75</v>
      </c>
      <c r="K81">
        <v>7.3</v>
      </c>
      <c r="L81">
        <v>0.32276511899999999</v>
      </c>
      <c r="M81">
        <v>11.8</v>
      </c>
      <c r="N81" s="4">
        <v>1.6</v>
      </c>
      <c r="O81" s="2">
        <v>0.15</v>
      </c>
      <c r="P81" s="2">
        <v>0.18</v>
      </c>
      <c r="Q81" s="2">
        <v>0.12</v>
      </c>
      <c r="R81" s="2">
        <v>0.05</v>
      </c>
      <c r="S81">
        <f t="shared" si="1"/>
        <v>0.49999999999999994</v>
      </c>
    </row>
    <row r="82" spans="1:19" x14ac:dyDescent="0.2">
      <c r="A82">
        <v>6</v>
      </c>
      <c r="B82" t="s">
        <v>26</v>
      </c>
      <c r="C82">
        <v>6</v>
      </c>
      <c r="D82" t="s">
        <v>15</v>
      </c>
      <c r="E82" t="s">
        <v>27</v>
      </c>
      <c r="F82">
        <v>1.730960434</v>
      </c>
      <c r="G82" s="1">
        <v>-6.6199999999999997E-8</v>
      </c>
      <c r="H82" s="1">
        <v>-9.1700000000000006E-5</v>
      </c>
      <c r="I82">
        <v>10</v>
      </c>
      <c r="J82" s="4">
        <v>8.6999999999999993</v>
      </c>
      <c r="K82">
        <v>6.95</v>
      </c>
      <c r="L82">
        <v>0.32378159200000001</v>
      </c>
      <c r="M82">
        <v>12.8</v>
      </c>
      <c r="N82" s="4">
        <v>1.6</v>
      </c>
      <c r="O82" s="2">
        <v>0.2</v>
      </c>
      <c r="P82" s="2">
        <v>0.2</v>
      </c>
      <c r="Q82" s="2">
        <v>0.15</v>
      </c>
      <c r="R82" s="2">
        <v>0.05</v>
      </c>
      <c r="S82">
        <f t="shared" si="1"/>
        <v>0.60000000000000009</v>
      </c>
    </row>
    <row r="83" spans="1:19" x14ac:dyDescent="0.2">
      <c r="A83">
        <v>6</v>
      </c>
      <c r="B83" t="s">
        <v>28</v>
      </c>
      <c r="C83">
        <v>7</v>
      </c>
      <c r="D83" t="s">
        <v>15</v>
      </c>
      <c r="E83" t="s">
        <v>29</v>
      </c>
      <c r="F83" t="s">
        <v>17</v>
      </c>
      <c r="G83" t="s">
        <v>17</v>
      </c>
      <c r="H83" t="s">
        <v>17</v>
      </c>
      <c r="I83">
        <v>10</v>
      </c>
      <c r="J83" s="4">
        <v>9.6</v>
      </c>
      <c r="K83">
        <v>7.05</v>
      </c>
      <c r="L83">
        <v>0.32620384099999999</v>
      </c>
      <c r="M83">
        <v>14.8</v>
      </c>
      <c r="N83" s="4">
        <v>1.4</v>
      </c>
      <c r="O83" s="2">
        <v>0.22</v>
      </c>
      <c r="P83" s="2">
        <v>0.21</v>
      </c>
      <c r="Q83" s="2">
        <v>0.17</v>
      </c>
      <c r="R83" s="2">
        <v>0.05</v>
      </c>
      <c r="S83">
        <f t="shared" si="1"/>
        <v>0.65</v>
      </c>
    </row>
    <row r="84" spans="1:19" x14ac:dyDescent="0.2">
      <c r="A84">
        <v>6</v>
      </c>
      <c r="B84" t="s">
        <v>30</v>
      </c>
      <c r="C84">
        <v>8</v>
      </c>
      <c r="D84" t="s">
        <v>15</v>
      </c>
      <c r="E84" t="s">
        <v>29</v>
      </c>
      <c r="F84" t="s">
        <v>17</v>
      </c>
      <c r="G84" t="s">
        <v>17</v>
      </c>
      <c r="H84" t="s">
        <v>17</v>
      </c>
      <c r="I84">
        <v>10</v>
      </c>
      <c r="J84" s="4">
        <v>8.4499999999999993</v>
      </c>
      <c r="K84">
        <v>7.2</v>
      </c>
      <c r="L84">
        <v>0.33316190000000001</v>
      </c>
      <c r="M84">
        <v>15.4</v>
      </c>
      <c r="N84" s="4">
        <v>1</v>
      </c>
      <c r="O84" s="2">
        <v>0.25</v>
      </c>
      <c r="P84" s="2">
        <v>0.23</v>
      </c>
      <c r="Q84" s="2">
        <v>0.2</v>
      </c>
      <c r="R84" s="2">
        <v>0.02</v>
      </c>
      <c r="S84">
        <f t="shared" si="1"/>
        <v>0.7</v>
      </c>
    </row>
    <row r="85" spans="1:19" x14ac:dyDescent="0.2">
      <c r="A85">
        <v>6</v>
      </c>
      <c r="B85" t="s">
        <v>31</v>
      </c>
      <c r="C85">
        <v>9</v>
      </c>
      <c r="D85" t="s">
        <v>15</v>
      </c>
      <c r="E85" t="s">
        <v>29</v>
      </c>
      <c r="F85">
        <v>2.3028046899999999</v>
      </c>
      <c r="G85" s="1">
        <v>1.6000000000000001E-8</v>
      </c>
      <c r="H85" s="1">
        <v>2.2200000000000001E-5</v>
      </c>
      <c r="I85">
        <v>10</v>
      </c>
      <c r="J85" s="4">
        <v>9.5500000000000007</v>
      </c>
      <c r="K85">
        <v>7.05</v>
      </c>
      <c r="L85">
        <v>0.33858589300000003</v>
      </c>
      <c r="M85">
        <v>16.2</v>
      </c>
      <c r="N85" s="4">
        <v>1.2</v>
      </c>
      <c r="O85" s="2">
        <v>0.27</v>
      </c>
      <c r="P85" s="2">
        <v>0.23</v>
      </c>
      <c r="Q85" s="2">
        <v>0.22</v>
      </c>
      <c r="R85" s="2">
        <v>0.02</v>
      </c>
      <c r="S85">
        <f t="shared" si="1"/>
        <v>0.74</v>
      </c>
    </row>
    <row r="86" spans="1:19" x14ac:dyDescent="0.2">
      <c r="A86">
        <v>6</v>
      </c>
      <c r="B86" t="s">
        <v>34</v>
      </c>
      <c r="C86">
        <v>10</v>
      </c>
      <c r="D86" t="s">
        <v>15</v>
      </c>
      <c r="E86" t="s">
        <v>33</v>
      </c>
      <c r="F86" t="s">
        <v>17</v>
      </c>
      <c r="G86" t="s">
        <v>17</v>
      </c>
      <c r="H86" t="s">
        <v>17</v>
      </c>
      <c r="I86">
        <v>10</v>
      </c>
      <c r="J86" s="4">
        <v>9.1999999999999993</v>
      </c>
      <c r="K86">
        <v>6.6</v>
      </c>
      <c r="L86">
        <v>0.337549918</v>
      </c>
      <c r="M86">
        <v>15.9</v>
      </c>
      <c r="N86" s="4">
        <v>0.6</v>
      </c>
      <c r="O86" s="2">
        <v>0.28000000000000003</v>
      </c>
      <c r="P86" s="2">
        <v>0.2</v>
      </c>
      <c r="Q86" s="2">
        <v>0.23</v>
      </c>
      <c r="R86" s="2">
        <v>0.01</v>
      </c>
      <c r="S86">
        <f t="shared" si="1"/>
        <v>0.72000000000000008</v>
      </c>
    </row>
    <row r="87" spans="1:19" x14ac:dyDescent="0.2">
      <c r="A87">
        <v>6</v>
      </c>
      <c r="B87" t="s">
        <v>35</v>
      </c>
      <c r="C87">
        <v>11</v>
      </c>
      <c r="D87" t="s">
        <v>15</v>
      </c>
      <c r="E87" t="s">
        <v>33</v>
      </c>
      <c r="F87">
        <v>1.6046780899999999</v>
      </c>
      <c r="G87" s="1">
        <v>-2.1999999999999998E-9</v>
      </c>
      <c r="H87" s="1">
        <v>-3.05E-6</v>
      </c>
      <c r="I87">
        <v>10</v>
      </c>
      <c r="J87" s="4">
        <v>10</v>
      </c>
      <c r="K87">
        <v>6.55</v>
      </c>
      <c r="L87">
        <v>0.34418222199999998</v>
      </c>
      <c r="M87">
        <v>15.9</v>
      </c>
      <c r="N87" s="4">
        <v>0.6</v>
      </c>
      <c r="O87" s="2">
        <v>0.3</v>
      </c>
      <c r="P87" s="2">
        <v>0.18</v>
      </c>
      <c r="Q87" s="2">
        <v>0.25</v>
      </c>
      <c r="R87" s="2">
        <v>0.01</v>
      </c>
      <c r="S87">
        <f t="shared" si="1"/>
        <v>0.74</v>
      </c>
    </row>
    <row r="88" spans="1:19" x14ac:dyDescent="0.2">
      <c r="A88">
        <v>6</v>
      </c>
      <c r="B88" t="s">
        <v>36</v>
      </c>
      <c r="C88">
        <v>12</v>
      </c>
      <c r="D88" t="s">
        <v>15</v>
      </c>
      <c r="E88" t="s">
        <v>37</v>
      </c>
      <c r="F88" t="s">
        <v>17</v>
      </c>
      <c r="G88" t="s">
        <v>17</v>
      </c>
      <c r="H88" t="s">
        <v>17</v>
      </c>
      <c r="I88">
        <v>10</v>
      </c>
      <c r="J88" s="4">
        <v>9.6999999999999993</v>
      </c>
      <c r="K88">
        <v>6.9</v>
      </c>
      <c r="L88">
        <v>0.34205503100000001</v>
      </c>
      <c r="M88">
        <v>15.7</v>
      </c>
      <c r="N88" s="4">
        <v>1</v>
      </c>
      <c r="O88" s="2">
        <v>0.25</v>
      </c>
      <c r="P88" s="2">
        <v>0.16</v>
      </c>
      <c r="Q88" s="2">
        <v>0.27</v>
      </c>
      <c r="R88" s="2">
        <v>0</v>
      </c>
      <c r="S88">
        <f t="shared" si="1"/>
        <v>0.68</v>
      </c>
    </row>
    <row r="89" spans="1:19" x14ac:dyDescent="0.2">
      <c r="A89">
        <v>6</v>
      </c>
      <c r="B89" t="s">
        <v>38</v>
      </c>
      <c r="C89">
        <v>13</v>
      </c>
      <c r="D89" t="s">
        <v>15</v>
      </c>
      <c r="E89" t="s">
        <v>37</v>
      </c>
      <c r="F89">
        <v>1.0901883560000001</v>
      </c>
      <c r="G89" s="1">
        <v>-1.11E-8</v>
      </c>
      <c r="H89" s="1">
        <v>-1.5400000000000002E-5</v>
      </c>
      <c r="I89">
        <v>2.5</v>
      </c>
      <c r="J89" s="4">
        <v>9.9</v>
      </c>
      <c r="K89">
        <v>7.1</v>
      </c>
      <c r="L89">
        <v>0.33744302500000001</v>
      </c>
      <c r="M89">
        <v>16.7</v>
      </c>
      <c r="N89" s="4">
        <v>1.4</v>
      </c>
      <c r="O89" s="2">
        <v>0.23</v>
      </c>
      <c r="P89" s="2">
        <v>0.12</v>
      </c>
      <c r="Q89" s="2">
        <v>0.28000000000000003</v>
      </c>
      <c r="R89" s="2">
        <v>0</v>
      </c>
      <c r="S89">
        <f t="shared" si="1"/>
        <v>0.63</v>
      </c>
    </row>
    <row r="90" spans="1:19" x14ac:dyDescent="0.2">
      <c r="A90">
        <v>6</v>
      </c>
      <c r="B90" t="s">
        <v>39</v>
      </c>
      <c r="C90">
        <v>14</v>
      </c>
      <c r="D90" t="s">
        <v>15</v>
      </c>
      <c r="E90" t="s">
        <v>37</v>
      </c>
      <c r="F90" t="s">
        <v>17</v>
      </c>
      <c r="G90" t="s">
        <v>17</v>
      </c>
      <c r="H90" t="s">
        <v>17</v>
      </c>
      <c r="I90">
        <v>0.5</v>
      </c>
      <c r="J90" s="4">
        <v>9.0500000000000007</v>
      </c>
      <c r="K90">
        <v>7</v>
      </c>
      <c r="L90">
        <v>0.33662303500000001</v>
      </c>
      <c r="M90">
        <v>16.399999999999999</v>
      </c>
      <c r="N90" s="4">
        <v>1.4</v>
      </c>
      <c r="O90" s="2">
        <v>0.23</v>
      </c>
      <c r="P90" s="2">
        <v>0.16</v>
      </c>
      <c r="Q90" s="2">
        <v>0.28000000000000003</v>
      </c>
      <c r="R90" s="2">
        <v>0</v>
      </c>
      <c r="S90">
        <f t="shared" si="1"/>
        <v>0.67</v>
      </c>
    </row>
    <row r="91" spans="1:19" x14ac:dyDescent="0.2">
      <c r="A91">
        <v>6</v>
      </c>
      <c r="B91" t="s">
        <v>40</v>
      </c>
      <c r="C91">
        <v>15</v>
      </c>
      <c r="D91" t="s">
        <v>15</v>
      </c>
      <c r="E91" t="s">
        <v>37</v>
      </c>
      <c r="F91">
        <v>0.56351127400000001</v>
      </c>
      <c r="G91" s="1">
        <v>1.85E-8</v>
      </c>
      <c r="H91" s="1">
        <v>2.5599999999999999E-5</v>
      </c>
      <c r="I91">
        <v>-1.5</v>
      </c>
      <c r="J91" s="4">
        <v>8.3000000000000007</v>
      </c>
      <c r="K91">
        <v>7.15</v>
      </c>
      <c r="L91">
        <v>0.32896900600000001</v>
      </c>
      <c r="M91">
        <v>14</v>
      </c>
      <c r="N91" s="4" t="s">
        <v>17</v>
      </c>
      <c r="O91" s="2">
        <v>0.1</v>
      </c>
      <c r="P91" s="2">
        <v>0.16</v>
      </c>
      <c r="Q91" s="2">
        <v>0.28000000000000003</v>
      </c>
      <c r="R91" s="2">
        <v>0</v>
      </c>
      <c r="S91">
        <f t="shared" si="1"/>
        <v>0.54</v>
      </c>
    </row>
    <row r="92" spans="1:19" x14ac:dyDescent="0.2">
      <c r="A92">
        <v>7</v>
      </c>
      <c r="B92" t="s">
        <v>14</v>
      </c>
      <c r="C92">
        <v>1</v>
      </c>
      <c r="D92" t="s">
        <v>15</v>
      </c>
      <c r="E92" t="s">
        <v>16</v>
      </c>
      <c r="F92" t="s">
        <v>17</v>
      </c>
      <c r="G92" t="s">
        <v>17</v>
      </c>
      <c r="H92" t="s">
        <v>17</v>
      </c>
      <c r="I92">
        <v>10</v>
      </c>
      <c r="J92" s="4">
        <v>5.6</v>
      </c>
      <c r="K92">
        <v>7.4</v>
      </c>
      <c r="L92">
        <v>0.30834072499999998</v>
      </c>
      <c r="M92" s="4" t="s">
        <v>17</v>
      </c>
      <c r="N92" s="4">
        <v>1.4</v>
      </c>
      <c r="O92" s="2">
        <v>0.08</v>
      </c>
      <c r="P92" s="2">
        <v>0</v>
      </c>
      <c r="Q92" s="2">
        <v>0</v>
      </c>
      <c r="R92" s="2">
        <v>0.03</v>
      </c>
      <c r="S92">
        <f t="shared" si="1"/>
        <v>0.11</v>
      </c>
    </row>
    <row r="93" spans="1:19" x14ac:dyDescent="0.2">
      <c r="A93">
        <v>7</v>
      </c>
      <c r="B93" t="s">
        <v>20</v>
      </c>
      <c r="C93">
        <v>2</v>
      </c>
      <c r="D93" t="s">
        <v>15</v>
      </c>
      <c r="E93" t="s">
        <v>16</v>
      </c>
      <c r="F93" t="s">
        <v>17</v>
      </c>
      <c r="G93" t="s">
        <v>17</v>
      </c>
      <c r="H93" t="s">
        <v>17</v>
      </c>
      <c r="I93">
        <v>10</v>
      </c>
      <c r="J93" s="4">
        <v>6.4</v>
      </c>
      <c r="K93">
        <v>7.25</v>
      </c>
      <c r="L93">
        <v>0.31381069900000003</v>
      </c>
      <c r="M93" s="4" t="s">
        <v>17</v>
      </c>
      <c r="N93" s="4">
        <v>1.4</v>
      </c>
      <c r="O93" s="2">
        <v>0.16</v>
      </c>
      <c r="P93" s="2">
        <v>0.02</v>
      </c>
      <c r="Q93" s="2">
        <v>0</v>
      </c>
      <c r="R93" s="2">
        <v>0.02</v>
      </c>
      <c r="S93">
        <f t="shared" si="1"/>
        <v>0.19999999999999998</v>
      </c>
    </row>
    <row r="94" spans="1:19" x14ac:dyDescent="0.2">
      <c r="A94">
        <v>7</v>
      </c>
      <c r="B94" t="s">
        <v>21</v>
      </c>
      <c r="C94">
        <v>3</v>
      </c>
      <c r="D94" t="s">
        <v>15</v>
      </c>
      <c r="E94" t="s">
        <v>22</v>
      </c>
      <c r="F94" t="s">
        <v>17</v>
      </c>
      <c r="G94" t="s">
        <v>17</v>
      </c>
      <c r="H94" t="s">
        <v>17</v>
      </c>
      <c r="I94">
        <v>10</v>
      </c>
      <c r="J94" s="4">
        <v>7.2</v>
      </c>
      <c r="K94">
        <v>7.45</v>
      </c>
      <c r="L94">
        <v>0.31694001900000002</v>
      </c>
      <c r="M94" t="s">
        <v>17</v>
      </c>
      <c r="N94" s="4">
        <v>1.6</v>
      </c>
      <c r="O94" s="2">
        <v>0.2</v>
      </c>
      <c r="P94" s="2">
        <v>0.05</v>
      </c>
      <c r="Q94" s="2">
        <v>0</v>
      </c>
      <c r="R94" s="2">
        <v>0.01</v>
      </c>
      <c r="S94">
        <f t="shared" si="1"/>
        <v>0.26</v>
      </c>
    </row>
    <row r="95" spans="1:19" x14ac:dyDescent="0.2">
      <c r="A95">
        <v>7</v>
      </c>
      <c r="B95" t="s">
        <v>23</v>
      </c>
      <c r="C95">
        <v>4</v>
      </c>
      <c r="D95" t="s">
        <v>15</v>
      </c>
      <c r="E95" t="s">
        <v>22</v>
      </c>
      <c r="F95" t="s">
        <v>17</v>
      </c>
      <c r="G95" t="s">
        <v>17</v>
      </c>
      <c r="H95" t="s">
        <v>17</v>
      </c>
      <c r="I95">
        <v>10</v>
      </c>
      <c r="J95" s="4">
        <v>8.4</v>
      </c>
      <c r="K95">
        <v>7.05</v>
      </c>
      <c r="L95">
        <v>0.32333878500000002</v>
      </c>
      <c r="M95">
        <v>21.2</v>
      </c>
      <c r="N95" s="4">
        <v>1.6</v>
      </c>
      <c r="O95" s="2">
        <v>0.25</v>
      </c>
      <c r="P95" s="2">
        <v>0.08</v>
      </c>
      <c r="Q95" s="2">
        <v>0</v>
      </c>
      <c r="R95" s="2">
        <v>0.03</v>
      </c>
      <c r="S95">
        <f t="shared" si="1"/>
        <v>0.36</v>
      </c>
    </row>
    <row r="96" spans="1:19" x14ac:dyDescent="0.2">
      <c r="A96">
        <v>7</v>
      </c>
      <c r="B96" t="s">
        <v>24</v>
      </c>
      <c r="C96">
        <v>5</v>
      </c>
      <c r="D96" t="s">
        <v>15</v>
      </c>
      <c r="E96" t="s">
        <v>25</v>
      </c>
      <c r="F96">
        <v>1.430385445</v>
      </c>
      <c r="G96" s="1">
        <v>-1.3E-7</v>
      </c>
      <c r="H96" s="1">
        <v>-1.8100000000000001E-4</v>
      </c>
      <c r="I96">
        <v>10</v>
      </c>
      <c r="J96" s="4">
        <v>7.7</v>
      </c>
      <c r="K96">
        <v>7.1</v>
      </c>
      <c r="L96">
        <v>0.32631113499999997</v>
      </c>
      <c r="M96">
        <v>42.4</v>
      </c>
      <c r="N96" s="4">
        <v>1.6</v>
      </c>
      <c r="O96" s="2">
        <v>0.45</v>
      </c>
      <c r="P96" s="2">
        <v>0.12</v>
      </c>
      <c r="Q96" s="2">
        <v>0</v>
      </c>
      <c r="R96" s="2">
        <v>0.02</v>
      </c>
      <c r="S96">
        <f t="shared" si="1"/>
        <v>0.59000000000000008</v>
      </c>
    </row>
    <row r="97" spans="1:19" x14ac:dyDescent="0.2">
      <c r="A97">
        <v>7</v>
      </c>
      <c r="B97" t="s">
        <v>26</v>
      </c>
      <c r="C97">
        <v>6</v>
      </c>
      <c r="D97" t="s">
        <v>15</v>
      </c>
      <c r="E97" t="s">
        <v>27</v>
      </c>
      <c r="F97">
        <v>3.3616558969999999</v>
      </c>
      <c r="G97" s="1">
        <v>-4.0100000000000002E-8</v>
      </c>
      <c r="H97" s="1">
        <v>-5.5600000000000003E-5</v>
      </c>
      <c r="I97">
        <v>10</v>
      </c>
      <c r="J97" s="4">
        <v>7.95</v>
      </c>
      <c r="K97">
        <v>6.9</v>
      </c>
      <c r="L97">
        <v>0.33151203099999998</v>
      </c>
      <c r="M97" s="3" t="s">
        <v>17</v>
      </c>
      <c r="N97" s="4">
        <v>1.8</v>
      </c>
      <c r="O97" s="2">
        <v>0.5</v>
      </c>
      <c r="P97" s="2">
        <v>0.15</v>
      </c>
      <c r="Q97" s="2">
        <v>0.01</v>
      </c>
      <c r="R97" s="2">
        <v>0.02</v>
      </c>
      <c r="S97">
        <f t="shared" si="1"/>
        <v>0.68</v>
      </c>
    </row>
    <row r="98" spans="1:19" x14ac:dyDescent="0.2">
      <c r="A98">
        <v>7</v>
      </c>
      <c r="B98" t="s">
        <v>28</v>
      </c>
      <c r="C98">
        <v>7</v>
      </c>
      <c r="D98" t="s">
        <v>15</v>
      </c>
      <c r="E98" t="s">
        <v>29</v>
      </c>
      <c r="F98" t="s">
        <v>17</v>
      </c>
      <c r="G98" t="s">
        <v>17</v>
      </c>
      <c r="H98" t="s">
        <v>17</v>
      </c>
      <c r="I98">
        <v>10</v>
      </c>
      <c r="J98" s="4">
        <v>8.25</v>
      </c>
      <c r="K98">
        <v>6.9</v>
      </c>
      <c r="L98">
        <v>0.334023546</v>
      </c>
      <c r="M98">
        <v>46.4</v>
      </c>
      <c r="N98" s="4">
        <v>1.8</v>
      </c>
      <c r="O98" s="2">
        <v>0.55000000000000004</v>
      </c>
      <c r="P98" s="2">
        <v>0.16</v>
      </c>
      <c r="Q98" s="2">
        <v>0.03</v>
      </c>
      <c r="R98" s="2">
        <v>0.02</v>
      </c>
      <c r="S98">
        <f t="shared" si="1"/>
        <v>0.76000000000000012</v>
      </c>
    </row>
    <row r="99" spans="1:19" x14ac:dyDescent="0.2">
      <c r="A99">
        <v>7</v>
      </c>
      <c r="B99" t="s">
        <v>30</v>
      </c>
      <c r="C99">
        <v>8</v>
      </c>
      <c r="D99" t="s">
        <v>15</v>
      </c>
      <c r="E99" t="s">
        <v>29</v>
      </c>
      <c r="F99" t="s">
        <v>17</v>
      </c>
      <c r="G99" t="s">
        <v>17</v>
      </c>
      <c r="H99" t="s">
        <v>17</v>
      </c>
      <c r="I99">
        <v>10</v>
      </c>
      <c r="J99" s="4">
        <v>8.6999999999999993</v>
      </c>
      <c r="K99">
        <v>6.85</v>
      </c>
      <c r="L99">
        <v>0.338005098</v>
      </c>
      <c r="M99">
        <v>53</v>
      </c>
      <c r="N99" s="4">
        <v>2</v>
      </c>
      <c r="O99" s="2">
        <v>0.56999999999999995</v>
      </c>
      <c r="P99" s="2">
        <v>0.17</v>
      </c>
      <c r="Q99" s="2">
        <v>0.03</v>
      </c>
      <c r="R99" s="2">
        <v>0.01</v>
      </c>
      <c r="S99">
        <f t="shared" si="1"/>
        <v>0.78</v>
      </c>
    </row>
    <row r="100" spans="1:19" x14ac:dyDescent="0.2">
      <c r="A100">
        <v>7</v>
      </c>
      <c r="B100" t="s">
        <v>31</v>
      </c>
      <c r="C100">
        <v>9</v>
      </c>
      <c r="D100" t="s">
        <v>15</v>
      </c>
      <c r="E100" t="s">
        <v>29</v>
      </c>
      <c r="F100">
        <v>3.6634657370000001</v>
      </c>
      <c r="G100" s="1">
        <v>3.8700000000000002E-8</v>
      </c>
      <c r="H100" s="1">
        <v>5.3699999999999997E-5</v>
      </c>
      <c r="I100">
        <v>10</v>
      </c>
      <c r="J100" s="4">
        <v>7.6</v>
      </c>
      <c r="K100">
        <v>7.1</v>
      </c>
      <c r="L100">
        <v>0.34613281299999998</v>
      </c>
      <c r="M100">
        <v>53.2</v>
      </c>
      <c r="N100" s="4">
        <v>1.4</v>
      </c>
      <c r="O100" s="2">
        <v>0.65</v>
      </c>
      <c r="P100" s="2">
        <v>0.18</v>
      </c>
      <c r="Q100" s="2">
        <v>0.02</v>
      </c>
      <c r="R100" s="2">
        <v>0.01</v>
      </c>
      <c r="S100">
        <f t="shared" si="1"/>
        <v>0.8600000000000001</v>
      </c>
    </row>
    <row r="101" spans="1:19" x14ac:dyDescent="0.2">
      <c r="A101">
        <v>7</v>
      </c>
      <c r="B101" t="s">
        <v>32</v>
      </c>
      <c r="C101">
        <v>10</v>
      </c>
      <c r="D101" t="s">
        <v>15</v>
      </c>
      <c r="E101" t="s">
        <v>33</v>
      </c>
      <c r="F101" t="s">
        <v>17</v>
      </c>
      <c r="G101" t="s">
        <v>17</v>
      </c>
      <c r="H101" t="s">
        <v>17</v>
      </c>
      <c r="I101">
        <v>10</v>
      </c>
      <c r="J101" s="4">
        <v>7.1</v>
      </c>
      <c r="K101">
        <v>6.85</v>
      </c>
      <c r="L101">
        <v>0.34288729200000001</v>
      </c>
      <c r="M101">
        <v>52.3</v>
      </c>
      <c r="N101" s="4">
        <v>1.6</v>
      </c>
      <c r="O101" s="2">
        <v>0.6</v>
      </c>
      <c r="P101" s="2">
        <v>0.19</v>
      </c>
      <c r="Q101" s="2">
        <v>0.01</v>
      </c>
      <c r="R101" s="2">
        <v>0.01</v>
      </c>
      <c r="S101">
        <f t="shared" si="1"/>
        <v>0.81</v>
      </c>
    </row>
    <row r="102" spans="1:19" x14ac:dyDescent="0.2">
      <c r="A102">
        <v>7</v>
      </c>
      <c r="B102" t="s">
        <v>35</v>
      </c>
      <c r="C102">
        <v>11</v>
      </c>
      <c r="D102" t="s">
        <v>15</v>
      </c>
      <c r="E102" t="s">
        <v>33</v>
      </c>
      <c r="F102">
        <v>3.2429307679999999</v>
      </c>
      <c r="G102" s="1">
        <v>-8.2800000000000004E-9</v>
      </c>
      <c r="H102" s="1">
        <v>-1.15E-5</v>
      </c>
      <c r="I102">
        <v>10</v>
      </c>
      <c r="J102" s="4">
        <v>9.4499999999999993</v>
      </c>
      <c r="K102">
        <v>7.05</v>
      </c>
      <c r="L102">
        <v>0.34577308699999998</v>
      </c>
      <c r="M102">
        <v>49.7</v>
      </c>
      <c r="N102" s="4">
        <v>1.6</v>
      </c>
      <c r="O102" s="2">
        <v>0.68</v>
      </c>
      <c r="P102" s="2">
        <v>0.19</v>
      </c>
      <c r="Q102" s="2">
        <v>0</v>
      </c>
      <c r="R102" s="2">
        <v>0</v>
      </c>
      <c r="S102">
        <f t="shared" si="1"/>
        <v>0.87000000000000011</v>
      </c>
    </row>
    <row r="103" spans="1:19" x14ac:dyDescent="0.2">
      <c r="A103">
        <v>7</v>
      </c>
      <c r="B103" t="s">
        <v>36</v>
      </c>
      <c r="C103">
        <v>12</v>
      </c>
      <c r="D103" t="s">
        <v>15</v>
      </c>
      <c r="E103" t="s">
        <v>37</v>
      </c>
      <c r="F103" t="s">
        <v>17</v>
      </c>
      <c r="G103" t="s">
        <v>17</v>
      </c>
      <c r="H103" t="s">
        <v>17</v>
      </c>
      <c r="I103">
        <v>10</v>
      </c>
      <c r="J103" s="4">
        <v>4.9000000000000004</v>
      </c>
      <c r="K103">
        <v>7.45</v>
      </c>
      <c r="L103">
        <v>0.346340537</v>
      </c>
      <c r="M103">
        <v>48.6</v>
      </c>
      <c r="N103" s="4">
        <v>1.4</v>
      </c>
      <c r="O103" s="2">
        <v>0.75</v>
      </c>
      <c r="P103" s="2">
        <v>0.12</v>
      </c>
      <c r="Q103" s="2">
        <v>0.01</v>
      </c>
      <c r="R103" s="2">
        <v>0</v>
      </c>
      <c r="S103">
        <f t="shared" si="1"/>
        <v>0.88</v>
      </c>
    </row>
    <row r="104" spans="1:19" x14ac:dyDescent="0.2">
      <c r="A104">
        <v>7</v>
      </c>
      <c r="B104" t="s">
        <v>38</v>
      </c>
      <c r="C104">
        <v>13</v>
      </c>
      <c r="D104" t="s">
        <v>15</v>
      </c>
      <c r="E104" t="s">
        <v>37</v>
      </c>
      <c r="F104">
        <v>1.9486029170000001</v>
      </c>
      <c r="G104" s="1">
        <v>4.97E-9</v>
      </c>
      <c r="H104" s="1">
        <v>6.8900000000000001E-6</v>
      </c>
      <c r="I104">
        <v>2.5</v>
      </c>
      <c r="J104" s="4">
        <v>5.4</v>
      </c>
      <c r="K104">
        <v>7.45</v>
      </c>
      <c r="L104">
        <v>0.34384605200000001</v>
      </c>
      <c r="M104" s="4">
        <v>49.6</v>
      </c>
      <c r="N104" s="4">
        <v>1.2</v>
      </c>
      <c r="O104" s="2">
        <v>0.8</v>
      </c>
      <c r="P104" s="2">
        <v>0.13</v>
      </c>
      <c r="Q104" s="2">
        <v>0.02</v>
      </c>
      <c r="R104" s="2">
        <v>0</v>
      </c>
      <c r="S104">
        <f t="shared" si="1"/>
        <v>0.95000000000000007</v>
      </c>
    </row>
    <row r="105" spans="1:19" x14ac:dyDescent="0.2">
      <c r="A105">
        <v>7</v>
      </c>
      <c r="B105" t="s">
        <v>39</v>
      </c>
      <c r="C105">
        <v>14</v>
      </c>
      <c r="D105" t="s">
        <v>15</v>
      </c>
      <c r="E105" t="s">
        <v>37</v>
      </c>
      <c r="F105" t="s">
        <v>17</v>
      </c>
      <c r="G105" t="s">
        <v>17</v>
      </c>
      <c r="H105" t="s">
        <v>17</v>
      </c>
      <c r="I105">
        <v>0.5</v>
      </c>
      <c r="J105" s="4">
        <v>6</v>
      </c>
      <c r="K105">
        <v>7.35</v>
      </c>
      <c r="L105">
        <v>0.34155058900000002</v>
      </c>
      <c r="M105" s="4">
        <v>36.9</v>
      </c>
      <c r="N105" s="4">
        <v>1</v>
      </c>
      <c r="O105" s="2">
        <v>0.8</v>
      </c>
      <c r="P105" s="2">
        <v>0.13</v>
      </c>
      <c r="Q105" s="2">
        <v>0.02</v>
      </c>
      <c r="R105" s="2">
        <v>0</v>
      </c>
      <c r="S105">
        <f t="shared" si="1"/>
        <v>0.95000000000000007</v>
      </c>
    </row>
    <row r="106" spans="1:19" x14ac:dyDescent="0.2">
      <c r="A106">
        <v>7</v>
      </c>
      <c r="B106" t="s">
        <v>40</v>
      </c>
      <c r="C106">
        <v>15</v>
      </c>
      <c r="D106" t="s">
        <v>15</v>
      </c>
      <c r="E106" t="s">
        <v>37</v>
      </c>
      <c r="F106">
        <v>0.60743011400000002</v>
      </c>
      <c r="G106" s="1">
        <v>-1.3399999999999999E-8</v>
      </c>
      <c r="H106" s="1">
        <v>-1.8600000000000001E-5</v>
      </c>
      <c r="I106">
        <v>-1.5</v>
      </c>
      <c r="J106" s="4">
        <v>4.5</v>
      </c>
      <c r="K106">
        <v>7.6</v>
      </c>
      <c r="L106">
        <v>0.33309233900000002</v>
      </c>
      <c r="M106" s="4">
        <v>40.1</v>
      </c>
      <c r="N106" s="4" t="s">
        <v>17</v>
      </c>
      <c r="O106" s="2">
        <v>0.8</v>
      </c>
      <c r="P106" s="2">
        <v>0.13</v>
      </c>
      <c r="Q106" s="2">
        <v>0.02</v>
      </c>
      <c r="R106" s="2">
        <v>0</v>
      </c>
      <c r="S106">
        <f t="shared" si="1"/>
        <v>0.95000000000000007</v>
      </c>
    </row>
    <row r="107" spans="1:19" x14ac:dyDescent="0.2">
      <c r="A107">
        <v>8</v>
      </c>
      <c r="B107" t="s">
        <v>14</v>
      </c>
      <c r="C107">
        <v>1</v>
      </c>
      <c r="D107" t="s">
        <v>15</v>
      </c>
      <c r="E107" t="s">
        <v>16</v>
      </c>
      <c r="F107" t="s">
        <v>17</v>
      </c>
      <c r="G107" t="s">
        <v>17</v>
      </c>
      <c r="H107" t="s">
        <v>17</v>
      </c>
      <c r="I107">
        <v>10</v>
      </c>
      <c r="J107" s="4">
        <v>7</v>
      </c>
      <c r="K107">
        <v>7.4</v>
      </c>
      <c r="L107">
        <v>0.30796880599999998</v>
      </c>
      <c r="M107" s="4" t="s">
        <v>17</v>
      </c>
      <c r="N107" s="4">
        <v>1.6</v>
      </c>
      <c r="O107" s="2">
        <v>0.01</v>
      </c>
      <c r="P107" s="2">
        <v>0.03</v>
      </c>
      <c r="Q107" s="2">
        <v>0</v>
      </c>
      <c r="R107" s="2">
        <v>0.11</v>
      </c>
      <c r="S107">
        <f t="shared" si="1"/>
        <v>0.15</v>
      </c>
    </row>
    <row r="108" spans="1:19" x14ac:dyDescent="0.2">
      <c r="A108">
        <v>8</v>
      </c>
      <c r="B108" t="s">
        <v>20</v>
      </c>
      <c r="C108">
        <v>2</v>
      </c>
      <c r="D108" t="s">
        <v>15</v>
      </c>
      <c r="E108" t="s">
        <v>16</v>
      </c>
      <c r="F108" t="s">
        <v>17</v>
      </c>
      <c r="G108" t="s">
        <v>17</v>
      </c>
      <c r="H108" t="s">
        <v>17</v>
      </c>
      <c r="I108">
        <v>10</v>
      </c>
      <c r="J108" s="4">
        <v>5.3</v>
      </c>
      <c r="K108">
        <v>7.4</v>
      </c>
      <c r="L108">
        <v>0.31448694300000002</v>
      </c>
      <c r="M108" s="4" t="s">
        <v>17</v>
      </c>
      <c r="N108" s="4">
        <v>1.4</v>
      </c>
      <c r="O108" s="2">
        <v>0.05</v>
      </c>
      <c r="P108" s="2">
        <v>0.05</v>
      </c>
      <c r="Q108" s="2">
        <v>0</v>
      </c>
      <c r="R108" s="2">
        <v>0.12</v>
      </c>
      <c r="S108">
        <f t="shared" si="1"/>
        <v>0.22</v>
      </c>
    </row>
    <row r="109" spans="1:19" x14ac:dyDescent="0.2">
      <c r="A109">
        <v>8</v>
      </c>
      <c r="B109" t="s">
        <v>21</v>
      </c>
      <c r="C109">
        <v>3</v>
      </c>
      <c r="D109" t="s">
        <v>15</v>
      </c>
      <c r="E109" t="s">
        <v>22</v>
      </c>
      <c r="F109" t="s">
        <v>17</v>
      </c>
      <c r="G109" t="s">
        <v>17</v>
      </c>
      <c r="H109" t="s">
        <v>17</v>
      </c>
      <c r="I109">
        <v>10</v>
      </c>
      <c r="J109" s="4">
        <v>6.8</v>
      </c>
      <c r="K109">
        <v>7.35</v>
      </c>
      <c r="L109">
        <v>0.31845828399999998</v>
      </c>
      <c r="M109" s="4" t="s">
        <v>17</v>
      </c>
      <c r="N109" s="4">
        <v>1.6</v>
      </c>
      <c r="O109" s="2">
        <v>0.1</v>
      </c>
      <c r="P109" s="2">
        <v>7.0000000000000007E-2</v>
      </c>
      <c r="Q109" s="2">
        <v>0</v>
      </c>
      <c r="R109" s="2">
        <v>0.1</v>
      </c>
      <c r="S109">
        <f t="shared" si="1"/>
        <v>0.27</v>
      </c>
    </row>
    <row r="110" spans="1:19" x14ac:dyDescent="0.2">
      <c r="A110">
        <v>8</v>
      </c>
      <c r="B110" t="s">
        <v>23</v>
      </c>
      <c r="C110">
        <v>4</v>
      </c>
      <c r="D110" t="s">
        <v>15</v>
      </c>
      <c r="E110" t="s">
        <v>22</v>
      </c>
      <c r="F110" t="s">
        <v>17</v>
      </c>
      <c r="G110" t="s">
        <v>17</v>
      </c>
      <c r="H110" t="s">
        <v>17</v>
      </c>
      <c r="I110">
        <v>10</v>
      </c>
      <c r="J110" s="4">
        <v>7.35</v>
      </c>
      <c r="K110">
        <v>7</v>
      </c>
      <c r="L110">
        <v>0.32268391099999999</v>
      </c>
      <c r="M110" s="4">
        <v>22.5</v>
      </c>
      <c r="N110" s="4">
        <v>1.8</v>
      </c>
      <c r="O110" s="2">
        <v>0.2</v>
      </c>
      <c r="P110" s="2">
        <v>0.18</v>
      </c>
      <c r="Q110" s="2">
        <v>0.01</v>
      </c>
      <c r="R110" s="2">
        <v>0.08</v>
      </c>
      <c r="S110">
        <f t="shared" si="1"/>
        <v>0.47000000000000003</v>
      </c>
    </row>
    <row r="111" spans="1:19" x14ac:dyDescent="0.2">
      <c r="A111">
        <v>8</v>
      </c>
      <c r="B111" t="s">
        <v>24</v>
      </c>
      <c r="C111">
        <v>5</v>
      </c>
      <c r="D111" t="s">
        <v>15</v>
      </c>
      <c r="E111" t="s">
        <v>25</v>
      </c>
      <c r="F111" t="s">
        <v>17</v>
      </c>
      <c r="G111" t="s">
        <v>17</v>
      </c>
      <c r="H111" t="s">
        <v>17</v>
      </c>
      <c r="I111">
        <v>10</v>
      </c>
      <c r="J111" s="4">
        <v>9.15</v>
      </c>
      <c r="K111">
        <v>7.05</v>
      </c>
      <c r="L111">
        <v>0.32745328099999998</v>
      </c>
      <c r="M111" s="4">
        <v>29.7</v>
      </c>
      <c r="N111" s="4">
        <v>1.6</v>
      </c>
      <c r="O111" s="2">
        <v>0.25</v>
      </c>
      <c r="P111" s="2">
        <v>0.2</v>
      </c>
      <c r="Q111" s="2">
        <v>0.03</v>
      </c>
      <c r="R111" s="2">
        <v>7.0000000000000007E-2</v>
      </c>
      <c r="S111">
        <f t="shared" si="1"/>
        <v>0.55000000000000004</v>
      </c>
    </row>
    <row r="112" spans="1:19" x14ac:dyDescent="0.2">
      <c r="A112">
        <v>8</v>
      </c>
      <c r="B112" t="s">
        <v>26</v>
      </c>
      <c r="C112">
        <v>6</v>
      </c>
      <c r="D112" t="s">
        <v>15</v>
      </c>
      <c r="E112" t="s">
        <v>27</v>
      </c>
      <c r="F112">
        <v>1.4138914229999999</v>
      </c>
      <c r="G112" s="1">
        <v>-1.75E-9</v>
      </c>
      <c r="H112" s="1">
        <v>-2.43E-6</v>
      </c>
      <c r="I112">
        <v>10</v>
      </c>
      <c r="J112" s="4">
        <v>7.5</v>
      </c>
      <c r="K112">
        <v>7</v>
      </c>
      <c r="L112">
        <v>0.32870391700000001</v>
      </c>
      <c r="M112">
        <v>46.7</v>
      </c>
      <c r="N112" s="4">
        <v>1.6</v>
      </c>
      <c r="O112" s="2">
        <v>0.35</v>
      </c>
      <c r="P112" s="2">
        <v>0.22</v>
      </c>
      <c r="Q112" s="2">
        <v>7.0000000000000007E-2</v>
      </c>
      <c r="R112" s="2">
        <v>0.05</v>
      </c>
      <c r="S112">
        <f t="shared" si="1"/>
        <v>0.69</v>
      </c>
    </row>
    <row r="113" spans="1:19" x14ac:dyDescent="0.2">
      <c r="A113">
        <v>8</v>
      </c>
      <c r="B113" t="s">
        <v>28</v>
      </c>
      <c r="C113">
        <v>7</v>
      </c>
      <c r="D113" t="s">
        <v>15</v>
      </c>
      <c r="E113" t="s">
        <v>29</v>
      </c>
      <c r="F113" t="s">
        <v>17</v>
      </c>
      <c r="G113" t="s">
        <v>17</v>
      </c>
      <c r="H113" t="s">
        <v>17</v>
      </c>
      <c r="I113">
        <v>10</v>
      </c>
      <c r="J113" s="4">
        <v>8.25</v>
      </c>
      <c r="K113">
        <v>7.2</v>
      </c>
      <c r="L113">
        <v>0.33192076500000001</v>
      </c>
      <c r="M113">
        <v>39.700000000000003</v>
      </c>
      <c r="N113" s="4">
        <v>1.6</v>
      </c>
      <c r="O113" s="2">
        <v>0.45</v>
      </c>
      <c r="P113" s="2">
        <v>0.22</v>
      </c>
      <c r="Q113" s="2">
        <v>0.1</v>
      </c>
      <c r="R113" s="2">
        <v>0.04</v>
      </c>
      <c r="S113">
        <f t="shared" si="1"/>
        <v>0.81</v>
      </c>
    </row>
    <row r="114" spans="1:19" x14ac:dyDescent="0.2">
      <c r="A114">
        <v>8</v>
      </c>
      <c r="B114" t="s">
        <v>30</v>
      </c>
      <c r="C114">
        <v>8</v>
      </c>
      <c r="D114" t="s">
        <v>15</v>
      </c>
      <c r="E114" t="s">
        <v>29</v>
      </c>
      <c r="F114" t="s">
        <v>17</v>
      </c>
      <c r="G114" t="s">
        <v>17</v>
      </c>
      <c r="H114" t="s">
        <v>17</v>
      </c>
      <c r="I114">
        <v>10</v>
      </c>
      <c r="J114" s="4">
        <v>7.65</v>
      </c>
      <c r="K114">
        <v>7.2</v>
      </c>
      <c r="L114">
        <v>0.344953764</v>
      </c>
      <c r="M114">
        <v>40.299999999999997</v>
      </c>
      <c r="N114" s="4">
        <v>1.6</v>
      </c>
      <c r="O114" s="2">
        <v>0.6</v>
      </c>
      <c r="P114" s="2">
        <v>0.18</v>
      </c>
      <c r="Q114" s="2">
        <v>0.13</v>
      </c>
      <c r="R114" s="2">
        <v>0.03</v>
      </c>
      <c r="S114">
        <f t="shared" si="1"/>
        <v>0.94000000000000006</v>
      </c>
    </row>
    <row r="115" spans="1:19" x14ac:dyDescent="0.2">
      <c r="A115">
        <v>8</v>
      </c>
      <c r="B115" t="s">
        <v>31</v>
      </c>
      <c r="C115">
        <v>9</v>
      </c>
      <c r="D115" t="s">
        <v>15</v>
      </c>
      <c r="E115" t="s">
        <v>29</v>
      </c>
      <c r="F115">
        <v>2.5165450379999998</v>
      </c>
      <c r="G115" s="1">
        <v>-1.8200000000000001E-8</v>
      </c>
      <c r="H115" s="1">
        <v>-2.5199999999999999E-5</v>
      </c>
      <c r="I115">
        <v>10</v>
      </c>
      <c r="J115" s="4">
        <v>8.15</v>
      </c>
      <c r="K115">
        <v>6.9</v>
      </c>
      <c r="L115">
        <v>0.35265712100000002</v>
      </c>
      <c r="M115">
        <v>41.1</v>
      </c>
      <c r="N115" s="4">
        <v>1.4</v>
      </c>
      <c r="O115" s="2">
        <v>0.7</v>
      </c>
      <c r="P115" s="2">
        <v>0.1</v>
      </c>
      <c r="Q115" s="2">
        <v>0.15</v>
      </c>
      <c r="R115" s="2">
        <v>0.02</v>
      </c>
      <c r="S115">
        <f t="shared" si="1"/>
        <v>0.97</v>
      </c>
    </row>
    <row r="116" spans="1:19" x14ac:dyDescent="0.2">
      <c r="A116">
        <v>8</v>
      </c>
      <c r="B116" t="s">
        <v>34</v>
      </c>
      <c r="C116">
        <v>10</v>
      </c>
      <c r="D116" t="s">
        <v>15</v>
      </c>
      <c r="E116" t="s">
        <v>33</v>
      </c>
      <c r="F116" t="s">
        <v>17</v>
      </c>
      <c r="G116" t="s">
        <v>17</v>
      </c>
      <c r="H116" t="s">
        <v>17</v>
      </c>
      <c r="I116">
        <v>10</v>
      </c>
      <c r="J116" s="4">
        <v>8.9</v>
      </c>
      <c r="K116">
        <v>6.8</v>
      </c>
      <c r="L116">
        <v>0.35645522000000002</v>
      </c>
      <c r="M116">
        <v>41.1</v>
      </c>
      <c r="N116" s="4">
        <v>0.6</v>
      </c>
      <c r="O116" s="2">
        <v>0.75</v>
      </c>
      <c r="P116" s="2">
        <v>0.08</v>
      </c>
      <c r="Q116" s="2">
        <v>0.1</v>
      </c>
      <c r="R116" s="2">
        <v>0.01</v>
      </c>
      <c r="S116">
        <f t="shared" si="1"/>
        <v>0.94</v>
      </c>
    </row>
    <row r="117" spans="1:19" x14ac:dyDescent="0.2">
      <c r="A117">
        <v>8</v>
      </c>
      <c r="B117" t="s">
        <v>35</v>
      </c>
      <c r="C117">
        <v>11</v>
      </c>
      <c r="D117" t="s">
        <v>15</v>
      </c>
      <c r="E117" t="s">
        <v>33</v>
      </c>
      <c r="F117">
        <v>1.6823187829999999</v>
      </c>
      <c r="G117" s="1">
        <v>-3.25E-8</v>
      </c>
      <c r="H117" s="1">
        <v>-4.5000000000000003E-5</v>
      </c>
      <c r="I117">
        <v>10</v>
      </c>
      <c r="J117" s="4">
        <v>10</v>
      </c>
      <c r="K117">
        <v>6.5</v>
      </c>
      <c r="L117">
        <v>0.36437501700000002</v>
      </c>
      <c r="M117">
        <v>40.9</v>
      </c>
      <c r="N117" s="4">
        <v>0.6</v>
      </c>
      <c r="O117" s="2">
        <v>0.8</v>
      </c>
      <c r="P117" s="2">
        <v>0.03</v>
      </c>
      <c r="Q117" s="2">
        <v>0.1</v>
      </c>
      <c r="R117" s="2">
        <v>0.01</v>
      </c>
      <c r="S117">
        <f t="shared" si="1"/>
        <v>0.94000000000000006</v>
      </c>
    </row>
    <row r="118" spans="1:19" x14ac:dyDescent="0.2">
      <c r="A118">
        <v>8</v>
      </c>
      <c r="B118" t="s">
        <v>36</v>
      </c>
      <c r="C118">
        <v>12</v>
      </c>
      <c r="D118" t="s">
        <v>15</v>
      </c>
      <c r="E118" t="s">
        <v>37</v>
      </c>
      <c r="F118" t="s">
        <v>17</v>
      </c>
      <c r="G118" t="s">
        <v>17</v>
      </c>
      <c r="H118" t="s">
        <v>17</v>
      </c>
      <c r="I118">
        <v>10</v>
      </c>
      <c r="J118" s="4">
        <v>9.3000000000000007</v>
      </c>
      <c r="K118">
        <v>7</v>
      </c>
      <c r="L118">
        <v>0.368294171</v>
      </c>
      <c r="M118">
        <v>29.1</v>
      </c>
      <c r="N118" s="4">
        <v>1.2</v>
      </c>
      <c r="O118" s="2">
        <v>0.85</v>
      </c>
      <c r="P118" s="2">
        <v>0.02</v>
      </c>
      <c r="Q118" s="2">
        <v>0.1</v>
      </c>
      <c r="R118" s="2">
        <v>0.01</v>
      </c>
      <c r="S118">
        <f t="shared" si="1"/>
        <v>0.98</v>
      </c>
    </row>
    <row r="119" spans="1:19" x14ac:dyDescent="0.2">
      <c r="A119">
        <v>8</v>
      </c>
      <c r="B119" t="s">
        <v>38</v>
      </c>
      <c r="C119">
        <v>13</v>
      </c>
      <c r="D119" t="s">
        <v>15</v>
      </c>
      <c r="E119" t="s">
        <v>37</v>
      </c>
      <c r="F119">
        <v>1.5997794649999999</v>
      </c>
      <c r="G119" s="1">
        <v>-3.8600000000000002E-8</v>
      </c>
      <c r="H119" s="1">
        <v>-5.3499999999999999E-5</v>
      </c>
      <c r="I119">
        <v>2.5</v>
      </c>
      <c r="J119" s="4">
        <v>9</v>
      </c>
      <c r="K119">
        <v>7.25</v>
      </c>
      <c r="L119">
        <v>0.37001989400000002</v>
      </c>
      <c r="M119">
        <v>29.2</v>
      </c>
      <c r="N119" s="4">
        <v>1.2</v>
      </c>
      <c r="O119" s="2">
        <v>0.85</v>
      </c>
      <c r="P119" s="2">
        <v>0.02</v>
      </c>
      <c r="Q119" s="2">
        <v>0.08</v>
      </c>
      <c r="R119" s="2">
        <v>0.01</v>
      </c>
      <c r="S119">
        <f t="shared" si="1"/>
        <v>0.96</v>
      </c>
    </row>
    <row r="120" spans="1:19" x14ac:dyDescent="0.2">
      <c r="A120">
        <v>8</v>
      </c>
      <c r="B120" t="s">
        <v>39</v>
      </c>
      <c r="C120">
        <v>14</v>
      </c>
      <c r="D120" t="s">
        <v>15</v>
      </c>
      <c r="E120" t="s">
        <v>37</v>
      </c>
      <c r="F120" t="s">
        <v>17</v>
      </c>
      <c r="G120" t="s">
        <v>17</v>
      </c>
      <c r="H120" t="s">
        <v>17</v>
      </c>
      <c r="I120">
        <v>0.5</v>
      </c>
      <c r="J120" s="4">
        <v>9.5500000000000007</v>
      </c>
      <c r="K120">
        <v>7.05</v>
      </c>
      <c r="L120">
        <v>0.36838085199999998</v>
      </c>
      <c r="M120">
        <v>27.7</v>
      </c>
      <c r="N120" s="4">
        <v>0.8</v>
      </c>
      <c r="O120" s="2">
        <v>0.85</v>
      </c>
      <c r="P120" s="2">
        <v>0.02</v>
      </c>
      <c r="Q120" s="2">
        <v>0.08</v>
      </c>
      <c r="R120" s="2">
        <v>0.01</v>
      </c>
      <c r="S120">
        <f t="shared" si="1"/>
        <v>0.96</v>
      </c>
    </row>
    <row r="121" spans="1:19" x14ac:dyDescent="0.2">
      <c r="A121">
        <v>8</v>
      </c>
      <c r="B121" t="s">
        <v>40</v>
      </c>
      <c r="C121">
        <v>15</v>
      </c>
      <c r="D121" t="s">
        <v>15</v>
      </c>
      <c r="E121" t="s">
        <v>37</v>
      </c>
      <c r="F121">
        <v>0.96846910100000005</v>
      </c>
      <c r="G121" s="1">
        <v>8.5199999999999995E-9</v>
      </c>
      <c r="H121" s="1">
        <v>1.1800000000000001E-5</v>
      </c>
      <c r="I121">
        <v>-1.5</v>
      </c>
      <c r="J121" s="4">
        <v>7.85</v>
      </c>
      <c r="K121">
        <v>7.2</v>
      </c>
      <c r="L121">
        <v>0.354750395</v>
      </c>
      <c r="M121">
        <v>29</v>
      </c>
      <c r="N121" s="4" t="s">
        <v>17</v>
      </c>
      <c r="O121" s="2">
        <v>0.8</v>
      </c>
      <c r="P121" s="2">
        <v>0.01</v>
      </c>
      <c r="Q121" s="2">
        <v>0.05</v>
      </c>
      <c r="R121" s="2">
        <v>0.01</v>
      </c>
      <c r="S121">
        <f t="shared" si="1"/>
        <v>0.87000000000000011</v>
      </c>
    </row>
    <row r="122" spans="1:19" x14ac:dyDescent="0.2">
      <c r="A122">
        <v>9</v>
      </c>
      <c r="B122" t="s">
        <v>14</v>
      </c>
      <c r="C122">
        <v>1</v>
      </c>
      <c r="D122" t="s">
        <v>19</v>
      </c>
      <c r="E122" t="s">
        <v>16</v>
      </c>
      <c r="F122" t="s">
        <v>17</v>
      </c>
      <c r="G122" t="s">
        <v>17</v>
      </c>
      <c r="H122" t="s">
        <v>17</v>
      </c>
      <c r="I122">
        <v>10</v>
      </c>
      <c r="J122" s="4">
        <v>3.6</v>
      </c>
      <c r="K122">
        <v>7.65</v>
      </c>
      <c r="L122">
        <v>0.305527147</v>
      </c>
      <c r="M122" s="4" t="s">
        <v>17</v>
      </c>
      <c r="N122" s="4">
        <v>1.6</v>
      </c>
      <c r="O122" s="2">
        <v>0.01</v>
      </c>
      <c r="P122" s="2">
        <v>0</v>
      </c>
      <c r="Q122" s="2">
        <v>0.01</v>
      </c>
      <c r="R122" s="2">
        <v>0.01</v>
      </c>
      <c r="S122">
        <f t="shared" si="1"/>
        <v>0.03</v>
      </c>
    </row>
    <row r="123" spans="1:19" x14ac:dyDescent="0.2">
      <c r="A123">
        <v>9</v>
      </c>
      <c r="B123" t="s">
        <v>20</v>
      </c>
      <c r="C123">
        <v>2</v>
      </c>
      <c r="D123" t="s">
        <v>19</v>
      </c>
      <c r="E123" t="s">
        <v>16</v>
      </c>
      <c r="F123" t="s">
        <v>17</v>
      </c>
      <c r="G123" t="s">
        <v>17</v>
      </c>
      <c r="H123" t="s">
        <v>17</v>
      </c>
      <c r="I123">
        <v>10</v>
      </c>
      <c r="J123" s="4">
        <v>5.25</v>
      </c>
      <c r="K123">
        <v>7.45</v>
      </c>
      <c r="L123">
        <v>0.31110341899999999</v>
      </c>
      <c r="M123" s="4" t="s">
        <v>17</v>
      </c>
      <c r="N123" s="4">
        <v>1.4</v>
      </c>
      <c r="O123" s="2">
        <v>0.03</v>
      </c>
      <c r="P123" s="2">
        <v>0.01</v>
      </c>
      <c r="Q123" s="2">
        <v>0.06</v>
      </c>
      <c r="R123" s="2">
        <v>0.02</v>
      </c>
      <c r="S123">
        <f t="shared" si="1"/>
        <v>0.12000000000000001</v>
      </c>
    </row>
    <row r="124" spans="1:19" x14ac:dyDescent="0.2">
      <c r="A124">
        <v>9</v>
      </c>
      <c r="B124" t="s">
        <v>21</v>
      </c>
      <c r="C124">
        <v>3</v>
      </c>
      <c r="D124" t="s">
        <v>19</v>
      </c>
      <c r="E124" t="s">
        <v>22</v>
      </c>
      <c r="F124" t="s">
        <v>17</v>
      </c>
      <c r="G124" t="s">
        <v>17</v>
      </c>
      <c r="H124" t="s">
        <v>17</v>
      </c>
      <c r="I124">
        <v>10</v>
      </c>
      <c r="J124" s="4">
        <v>4.8</v>
      </c>
      <c r="K124">
        <v>7.65</v>
      </c>
      <c r="L124">
        <v>0.31274902399999999</v>
      </c>
      <c r="M124" s="4" t="s">
        <v>17</v>
      </c>
      <c r="N124" s="4">
        <v>1.6</v>
      </c>
      <c r="O124" s="2">
        <v>0.04</v>
      </c>
      <c r="P124" s="2">
        <v>0.03</v>
      </c>
      <c r="Q124" s="2">
        <v>0.08</v>
      </c>
      <c r="R124" s="2">
        <v>0.03</v>
      </c>
      <c r="S124">
        <f t="shared" si="1"/>
        <v>0.18000000000000002</v>
      </c>
    </row>
    <row r="125" spans="1:19" x14ac:dyDescent="0.2">
      <c r="A125">
        <v>9</v>
      </c>
      <c r="B125" t="s">
        <v>23</v>
      </c>
      <c r="C125">
        <v>4</v>
      </c>
      <c r="D125" t="s">
        <v>19</v>
      </c>
      <c r="E125" t="s">
        <v>22</v>
      </c>
      <c r="F125" t="s">
        <v>17</v>
      </c>
      <c r="G125" t="s">
        <v>17</v>
      </c>
      <c r="H125" t="s">
        <v>17</v>
      </c>
      <c r="I125">
        <v>10</v>
      </c>
      <c r="J125" s="4">
        <v>7.45</v>
      </c>
      <c r="K125">
        <v>7.25</v>
      </c>
      <c r="L125">
        <v>0.315431656</v>
      </c>
      <c r="M125">
        <v>5.7</v>
      </c>
      <c r="N125" s="4">
        <v>1.6</v>
      </c>
      <c r="O125" s="2">
        <v>0.08</v>
      </c>
      <c r="P125" s="2">
        <v>0.06</v>
      </c>
      <c r="Q125" s="2">
        <v>0.12</v>
      </c>
      <c r="R125" s="2">
        <v>0.01</v>
      </c>
      <c r="S125">
        <f t="shared" si="1"/>
        <v>0.27</v>
      </c>
    </row>
    <row r="126" spans="1:19" x14ac:dyDescent="0.2">
      <c r="A126">
        <v>9</v>
      </c>
      <c r="B126" t="s">
        <v>24</v>
      </c>
      <c r="C126">
        <v>5</v>
      </c>
      <c r="D126" t="s">
        <v>19</v>
      </c>
      <c r="E126" t="s">
        <v>25</v>
      </c>
      <c r="F126" t="s">
        <v>17</v>
      </c>
      <c r="G126" t="s">
        <v>17</v>
      </c>
      <c r="H126" t="s">
        <v>17</v>
      </c>
      <c r="I126">
        <v>10</v>
      </c>
      <c r="J126" s="4">
        <v>7.3</v>
      </c>
      <c r="K126">
        <v>7.05</v>
      </c>
      <c r="L126">
        <v>0.31724947199999998</v>
      </c>
      <c r="M126">
        <v>6.2</v>
      </c>
      <c r="N126" s="4">
        <v>1.6</v>
      </c>
      <c r="O126" s="2">
        <v>0.1</v>
      </c>
      <c r="P126" s="2">
        <v>0.08</v>
      </c>
      <c r="Q126" s="2">
        <v>0.15</v>
      </c>
      <c r="R126" s="2">
        <v>0.01</v>
      </c>
      <c r="S126">
        <f t="shared" si="1"/>
        <v>0.33999999999999997</v>
      </c>
    </row>
    <row r="127" spans="1:19" x14ac:dyDescent="0.2">
      <c r="A127">
        <v>9</v>
      </c>
      <c r="B127" t="s">
        <v>26</v>
      </c>
      <c r="C127">
        <v>6</v>
      </c>
      <c r="D127" t="s">
        <v>19</v>
      </c>
      <c r="E127" t="s">
        <v>27</v>
      </c>
      <c r="F127">
        <v>1.4130531260000001</v>
      </c>
      <c r="G127" s="1">
        <v>4.7699999999999997E-8</v>
      </c>
      <c r="H127" s="1">
        <v>6.6099999999999994E-5</v>
      </c>
      <c r="I127">
        <v>10</v>
      </c>
      <c r="J127" s="4">
        <v>7.5</v>
      </c>
      <c r="K127">
        <v>7.2</v>
      </c>
      <c r="L127">
        <v>0.319605794</v>
      </c>
      <c r="M127">
        <v>7.2</v>
      </c>
      <c r="N127" s="4">
        <v>1.6</v>
      </c>
      <c r="O127" s="2">
        <v>0.15</v>
      </c>
      <c r="P127" s="2">
        <v>0.09</v>
      </c>
      <c r="Q127" s="2">
        <v>0.2</v>
      </c>
      <c r="R127" s="2">
        <v>0.01</v>
      </c>
      <c r="S127">
        <f t="shared" si="1"/>
        <v>0.45</v>
      </c>
    </row>
    <row r="128" spans="1:19" x14ac:dyDescent="0.2">
      <c r="A128">
        <v>9</v>
      </c>
      <c r="B128" t="s">
        <v>28</v>
      </c>
      <c r="C128">
        <v>7</v>
      </c>
      <c r="D128" t="s">
        <v>19</v>
      </c>
      <c r="E128" t="s">
        <v>29</v>
      </c>
      <c r="F128" t="s">
        <v>17</v>
      </c>
      <c r="G128" t="s">
        <v>17</v>
      </c>
      <c r="H128" t="s">
        <v>17</v>
      </c>
      <c r="I128">
        <v>6.625</v>
      </c>
      <c r="J128" s="4">
        <v>9.3000000000000007</v>
      </c>
      <c r="K128">
        <v>7.25</v>
      </c>
      <c r="L128">
        <v>0.323335594</v>
      </c>
      <c r="M128">
        <v>10.5</v>
      </c>
      <c r="N128" s="4">
        <v>0.8</v>
      </c>
      <c r="O128" s="2">
        <v>0.18</v>
      </c>
      <c r="P128" s="2">
        <v>0.12</v>
      </c>
      <c r="Q128" s="2">
        <v>0.22</v>
      </c>
      <c r="R128" s="2">
        <v>0.01</v>
      </c>
      <c r="S128">
        <f t="shared" si="1"/>
        <v>0.53</v>
      </c>
    </row>
    <row r="129" spans="1:19" x14ac:dyDescent="0.2">
      <c r="A129">
        <v>9</v>
      </c>
      <c r="B129" t="s">
        <v>30</v>
      </c>
      <c r="C129">
        <v>8</v>
      </c>
      <c r="D129" t="s">
        <v>19</v>
      </c>
      <c r="E129" t="s">
        <v>29</v>
      </c>
      <c r="F129" t="s">
        <v>17</v>
      </c>
      <c r="G129" t="s">
        <v>17</v>
      </c>
      <c r="H129" t="s">
        <v>17</v>
      </c>
      <c r="I129">
        <v>6.625</v>
      </c>
      <c r="J129" s="4">
        <v>9.4</v>
      </c>
      <c r="K129">
        <v>7.35</v>
      </c>
      <c r="L129">
        <v>0.32308055600000002</v>
      </c>
      <c r="M129">
        <v>11.2</v>
      </c>
      <c r="N129" s="4">
        <v>1.6</v>
      </c>
      <c r="O129" s="2">
        <v>0.28000000000000003</v>
      </c>
      <c r="P129" s="2">
        <v>0.12</v>
      </c>
      <c r="Q129" s="2">
        <v>0.22</v>
      </c>
      <c r="R129" s="2">
        <v>0.01</v>
      </c>
      <c r="S129">
        <f t="shared" si="1"/>
        <v>0.63</v>
      </c>
    </row>
    <row r="130" spans="1:19" x14ac:dyDescent="0.2">
      <c r="A130">
        <v>9</v>
      </c>
      <c r="B130" t="s">
        <v>31</v>
      </c>
      <c r="C130">
        <v>9</v>
      </c>
      <c r="D130" t="s">
        <v>19</v>
      </c>
      <c r="E130" t="s">
        <v>29</v>
      </c>
      <c r="F130">
        <v>1.2268031530000001</v>
      </c>
      <c r="G130" s="1">
        <v>-5.5199999999999998E-8</v>
      </c>
      <c r="H130" s="1">
        <v>-7.6500000000000003E-5</v>
      </c>
      <c r="I130">
        <v>4.75</v>
      </c>
      <c r="J130" s="4">
        <v>9</v>
      </c>
      <c r="K130">
        <v>7.25</v>
      </c>
      <c r="L130">
        <v>0.35265712100000002</v>
      </c>
      <c r="M130">
        <v>11.3</v>
      </c>
      <c r="N130" s="4">
        <v>0.8</v>
      </c>
      <c r="O130" s="2">
        <v>0.32</v>
      </c>
      <c r="P130" s="2">
        <v>0.12</v>
      </c>
      <c r="Q130" s="2">
        <v>0.25</v>
      </c>
      <c r="R130" s="2">
        <v>0.01</v>
      </c>
      <c r="S130">
        <f t="shared" si="1"/>
        <v>0.7</v>
      </c>
    </row>
    <row r="131" spans="1:19" x14ac:dyDescent="0.2">
      <c r="A131">
        <v>9</v>
      </c>
      <c r="B131" t="s">
        <v>34</v>
      </c>
      <c r="C131">
        <v>10</v>
      </c>
      <c r="D131" t="s">
        <v>19</v>
      </c>
      <c r="E131" t="s">
        <v>33</v>
      </c>
      <c r="F131" t="s">
        <v>17</v>
      </c>
      <c r="G131" t="s">
        <v>17</v>
      </c>
      <c r="H131" t="s">
        <v>17</v>
      </c>
      <c r="I131">
        <v>2.5</v>
      </c>
      <c r="J131" s="4">
        <v>9</v>
      </c>
      <c r="K131">
        <v>6.9</v>
      </c>
      <c r="L131">
        <v>0.32250192500000002</v>
      </c>
      <c r="M131">
        <v>11.8</v>
      </c>
      <c r="N131" s="4">
        <v>1</v>
      </c>
      <c r="O131" s="2">
        <v>0.35</v>
      </c>
      <c r="P131" s="2">
        <v>0.1</v>
      </c>
      <c r="Q131" s="2">
        <v>0.25</v>
      </c>
      <c r="R131" s="2">
        <v>0.01</v>
      </c>
      <c r="S131">
        <f t="shared" ref="S131:S194" si="2">SUM(O131:R131)</f>
        <v>0.71</v>
      </c>
    </row>
    <row r="132" spans="1:19" x14ac:dyDescent="0.2">
      <c r="A132">
        <v>9</v>
      </c>
      <c r="B132" t="s">
        <v>35</v>
      </c>
      <c r="C132">
        <v>11</v>
      </c>
      <c r="D132" t="s">
        <v>19</v>
      </c>
      <c r="E132" t="s">
        <v>33</v>
      </c>
      <c r="F132">
        <v>0.996856085</v>
      </c>
      <c r="G132" s="1">
        <v>1.6400000000000001E-8</v>
      </c>
      <c r="H132" s="1">
        <v>2.27E-5</v>
      </c>
      <c r="I132">
        <v>0.5</v>
      </c>
      <c r="J132" s="4">
        <v>9.4499999999999993</v>
      </c>
      <c r="K132">
        <v>7.05</v>
      </c>
      <c r="L132">
        <v>0.32366404599999998</v>
      </c>
      <c r="M132">
        <v>11.6</v>
      </c>
      <c r="N132" s="4">
        <v>1</v>
      </c>
      <c r="O132" s="2">
        <v>0.35</v>
      </c>
      <c r="P132" s="2">
        <v>0.1</v>
      </c>
      <c r="Q132" s="2">
        <v>0.25</v>
      </c>
      <c r="R132" s="2">
        <v>0.01</v>
      </c>
      <c r="S132">
        <f t="shared" si="2"/>
        <v>0.71</v>
      </c>
    </row>
    <row r="133" spans="1:19" x14ac:dyDescent="0.2">
      <c r="A133">
        <v>9</v>
      </c>
      <c r="B133" t="s">
        <v>36</v>
      </c>
      <c r="C133">
        <v>12</v>
      </c>
      <c r="D133" t="s">
        <v>19</v>
      </c>
      <c r="E133" t="s">
        <v>37</v>
      </c>
      <c r="F133" t="s">
        <v>17</v>
      </c>
      <c r="G133" t="s">
        <v>17</v>
      </c>
      <c r="H133" t="s">
        <v>17</v>
      </c>
      <c r="I133">
        <v>-1.5</v>
      </c>
      <c r="J133" s="4">
        <v>8.6</v>
      </c>
      <c r="K133">
        <v>7.2</v>
      </c>
      <c r="L133">
        <v>0.31959723000000001</v>
      </c>
      <c r="M133">
        <v>11.4</v>
      </c>
      <c r="N133" s="4">
        <v>13.6</v>
      </c>
      <c r="O133" s="2">
        <v>0.3</v>
      </c>
      <c r="P133" s="2">
        <v>0.08</v>
      </c>
      <c r="Q133" s="2">
        <v>0.25</v>
      </c>
      <c r="R133" s="2">
        <v>0.01</v>
      </c>
      <c r="S133">
        <f t="shared" si="2"/>
        <v>0.64</v>
      </c>
    </row>
    <row r="134" spans="1:19" x14ac:dyDescent="0.2">
      <c r="A134">
        <v>9</v>
      </c>
      <c r="B134" t="s">
        <v>38</v>
      </c>
      <c r="C134">
        <v>13</v>
      </c>
      <c r="D134" t="s">
        <v>19</v>
      </c>
      <c r="E134" t="s">
        <v>37</v>
      </c>
      <c r="F134" t="s">
        <v>17</v>
      </c>
      <c r="G134" t="s">
        <v>17</v>
      </c>
      <c r="H134" t="s">
        <v>17</v>
      </c>
      <c r="I134" t="s">
        <v>17</v>
      </c>
      <c r="J134" s="4" t="s">
        <v>17</v>
      </c>
      <c r="K134" t="s">
        <v>17</v>
      </c>
      <c r="L134" t="s">
        <v>17</v>
      </c>
      <c r="M134" t="s">
        <v>17</v>
      </c>
      <c r="N134" s="4" t="s">
        <v>17</v>
      </c>
      <c r="O134" s="2" t="s">
        <v>17</v>
      </c>
      <c r="P134" t="s">
        <v>17</v>
      </c>
      <c r="Q134" t="s">
        <v>17</v>
      </c>
      <c r="R134" t="s">
        <v>17</v>
      </c>
      <c r="S134" t="s">
        <v>17</v>
      </c>
    </row>
    <row r="135" spans="1:19" x14ac:dyDescent="0.2">
      <c r="A135">
        <v>9</v>
      </c>
      <c r="B135" t="s">
        <v>39</v>
      </c>
      <c r="C135">
        <v>14</v>
      </c>
      <c r="D135" t="s">
        <v>19</v>
      </c>
      <c r="E135" t="s">
        <v>37</v>
      </c>
      <c r="F135" t="s">
        <v>17</v>
      </c>
      <c r="G135" t="s">
        <v>17</v>
      </c>
      <c r="H135" t="s">
        <v>17</v>
      </c>
      <c r="I135" t="s">
        <v>17</v>
      </c>
      <c r="J135" s="4" t="s">
        <v>17</v>
      </c>
      <c r="K135" t="s">
        <v>17</v>
      </c>
      <c r="L135" t="s">
        <v>17</v>
      </c>
      <c r="M135" t="s">
        <v>17</v>
      </c>
      <c r="N135" s="4" t="s">
        <v>17</v>
      </c>
      <c r="O135" s="2" t="s">
        <v>17</v>
      </c>
      <c r="P135" t="s">
        <v>17</v>
      </c>
      <c r="Q135" t="s">
        <v>17</v>
      </c>
      <c r="R135" t="s">
        <v>17</v>
      </c>
      <c r="S135" t="s">
        <v>17</v>
      </c>
    </row>
    <row r="136" spans="1:19" x14ac:dyDescent="0.2">
      <c r="A136">
        <v>9</v>
      </c>
      <c r="B136" t="s">
        <v>40</v>
      </c>
      <c r="C136">
        <v>15</v>
      </c>
      <c r="D136" t="s">
        <v>19</v>
      </c>
      <c r="E136" t="s">
        <v>37</v>
      </c>
      <c r="F136" t="s">
        <v>17</v>
      </c>
      <c r="G136" t="s">
        <v>17</v>
      </c>
      <c r="H136" t="s">
        <v>17</v>
      </c>
      <c r="I136" t="s">
        <v>17</v>
      </c>
      <c r="J136" s="4" t="s">
        <v>17</v>
      </c>
      <c r="K136" t="s">
        <v>17</v>
      </c>
      <c r="L136" t="s">
        <v>17</v>
      </c>
      <c r="M136" s="4" t="s">
        <v>17</v>
      </c>
      <c r="N136" s="4" t="s">
        <v>17</v>
      </c>
      <c r="O136" s="2" t="s">
        <v>17</v>
      </c>
      <c r="P136" t="s">
        <v>17</v>
      </c>
      <c r="Q136" t="s">
        <v>17</v>
      </c>
      <c r="R136" t="s">
        <v>17</v>
      </c>
      <c r="S136" t="s">
        <v>17</v>
      </c>
    </row>
    <row r="137" spans="1:19" x14ac:dyDescent="0.2">
      <c r="A137">
        <v>10</v>
      </c>
      <c r="B137" t="s">
        <v>14</v>
      </c>
      <c r="C137">
        <v>1</v>
      </c>
      <c r="D137" t="s">
        <v>15</v>
      </c>
      <c r="E137" t="s">
        <v>16</v>
      </c>
      <c r="F137" t="s">
        <v>17</v>
      </c>
      <c r="G137" t="s">
        <v>17</v>
      </c>
      <c r="H137" t="s">
        <v>17</v>
      </c>
      <c r="I137">
        <v>10</v>
      </c>
      <c r="J137" s="4">
        <v>2.65</v>
      </c>
      <c r="K137">
        <v>7.7</v>
      </c>
      <c r="L137">
        <v>0.304566901</v>
      </c>
      <c r="M137" s="4" t="s">
        <v>17</v>
      </c>
      <c r="N137" s="4">
        <v>1.8</v>
      </c>
      <c r="O137" s="2">
        <v>0</v>
      </c>
      <c r="P137" s="2">
        <v>0.03</v>
      </c>
      <c r="Q137" s="2">
        <v>0</v>
      </c>
      <c r="R137" s="2">
        <v>0.03</v>
      </c>
      <c r="S137">
        <f t="shared" si="2"/>
        <v>0.06</v>
      </c>
    </row>
    <row r="138" spans="1:19" x14ac:dyDescent="0.2">
      <c r="A138">
        <v>10</v>
      </c>
      <c r="B138" t="s">
        <v>20</v>
      </c>
      <c r="C138">
        <v>2</v>
      </c>
      <c r="D138" t="s">
        <v>15</v>
      </c>
      <c r="E138" t="s">
        <v>16</v>
      </c>
      <c r="F138" t="s">
        <v>17</v>
      </c>
      <c r="G138" t="s">
        <v>17</v>
      </c>
      <c r="H138" t="s">
        <v>17</v>
      </c>
      <c r="I138">
        <v>10</v>
      </c>
      <c r="J138" s="4">
        <v>5.3</v>
      </c>
      <c r="K138">
        <v>7.5</v>
      </c>
      <c r="L138">
        <v>0.30994053799999999</v>
      </c>
      <c r="M138" s="4" t="s">
        <v>17</v>
      </c>
      <c r="N138" s="4">
        <v>1.4</v>
      </c>
      <c r="O138" s="2">
        <v>0</v>
      </c>
      <c r="P138" s="2">
        <v>7.0000000000000007E-2</v>
      </c>
      <c r="Q138" s="2">
        <v>0.04</v>
      </c>
      <c r="R138" s="2">
        <v>0.05</v>
      </c>
      <c r="S138">
        <f t="shared" si="2"/>
        <v>0.16000000000000003</v>
      </c>
    </row>
    <row r="139" spans="1:19" x14ac:dyDescent="0.2">
      <c r="A139">
        <v>10</v>
      </c>
      <c r="B139" t="s">
        <v>21</v>
      </c>
      <c r="C139">
        <v>3</v>
      </c>
      <c r="D139" t="s">
        <v>15</v>
      </c>
      <c r="E139" t="s">
        <v>22</v>
      </c>
      <c r="F139" t="s">
        <v>17</v>
      </c>
      <c r="G139" t="s">
        <v>17</v>
      </c>
      <c r="H139" t="s">
        <v>17</v>
      </c>
      <c r="I139">
        <v>10</v>
      </c>
      <c r="J139" s="4">
        <v>4.1500000000000004</v>
      </c>
      <c r="K139">
        <v>7.8</v>
      </c>
      <c r="L139">
        <v>0.315496422</v>
      </c>
      <c r="M139" s="4" t="s">
        <v>17</v>
      </c>
      <c r="N139" s="4">
        <v>1.6</v>
      </c>
      <c r="O139" s="2">
        <v>0.02</v>
      </c>
      <c r="P139" s="2">
        <v>0.15</v>
      </c>
      <c r="Q139" s="2">
        <v>0.08</v>
      </c>
      <c r="R139" s="2">
        <v>0.06</v>
      </c>
      <c r="S139">
        <f t="shared" si="2"/>
        <v>0.31</v>
      </c>
    </row>
    <row r="140" spans="1:19" x14ac:dyDescent="0.2">
      <c r="A140">
        <v>10</v>
      </c>
      <c r="B140" t="s">
        <v>23</v>
      </c>
      <c r="C140">
        <v>4</v>
      </c>
      <c r="D140" t="s">
        <v>15</v>
      </c>
      <c r="E140" t="s">
        <v>22</v>
      </c>
      <c r="F140" t="s">
        <v>17</v>
      </c>
      <c r="G140" t="s">
        <v>17</v>
      </c>
      <c r="H140" t="s">
        <v>17</v>
      </c>
      <c r="I140">
        <v>10</v>
      </c>
      <c r="J140" s="4">
        <v>7.95</v>
      </c>
      <c r="K140">
        <v>7.4</v>
      </c>
      <c r="L140">
        <v>0.31626760599999998</v>
      </c>
      <c r="M140">
        <v>4.5</v>
      </c>
      <c r="N140" s="4">
        <v>1.6</v>
      </c>
      <c r="O140" s="2">
        <v>0.05</v>
      </c>
      <c r="P140" s="2">
        <v>0.2</v>
      </c>
      <c r="Q140" s="2">
        <v>0.12</v>
      </c>
      <c r="R140" s="2">
        <v>7.0000000000000007E-2</v>
      </c>
      <c r="S140">
        <f t="shared" si="2"/>
        <v>0.44</v>
      </c>
    </row>
    <row r="141" spans="1:19" x14ac:dyDescent="0.2">
      <c r="A141">
        <v>10</v>
      </c>
      <c r="B141" t="s">
        <v>24</v>
      </c>
      <c r="C141">
        <v>5</v>
      </c>
      <c r="D141" t="s">
        <v>15</v>
      </c>
      <c r="E141" t="s">
        <v>25</v>
      </c>
      <c r="F141" t="s">
        <v>17</v>
      </c>
      <c r="G141" t="s">
        <v>17</v>
      </c>
      <c r="H141" t="s">
        <v>17</v>
      </c>
      <c r="I141">
        <v>10</v>
      </c>
      <c r="J141" s="4">
        <v>7.95</v>
      </c>
      <c r="K141">
        <v>7.1</v>
      </c>
      <c r="L141">
        <v>0.318261978</v>
      </c>
      <c r="M141">
        <v>9.1</v>
      </c>
      <c r="N141" s="4">
        <v>1.6</v>
      </c>
      <c r="O141" s="2">
        <v>7.0000000000000007E-2</v>
      </c>
      <c r="P141" s="2">
        <v>0.21</v>
      </c>
      <c r="Q141" s="2">
        <v>0.14000000000000001</v>
      </c>
      <c r="R141" s="2">
        <v>7.0000000000000007E-2</v>
      </c>
      <c r="S141">
        <f t="shared" si="2"/>
        <v>0.49000000000000005</v>
      </c>
    </row>
    <row r="142" spans="1:19" x14ac:dyDescent="0.2">
      <c r="A142">
        <v>10</v>
      </c>
      <c r="B142" t="s">
        <v>26</v>
      </c>
      <c r="C142">
        <v>6</v>
      </c>
      <c r="D142" t="s">
        <v>15</v>
      </c>
      <c r="E142" t="s">
        <v>27</v>
      </c>
      <c r="F142">
        <v>1.239449714</v>
      </c>
      <c r="G142" s="1">
        <v>1.5799999999999999E-8</v>
      </c>
      <c r="H142" s="1">
        <v>2.19E-5</v>
      </c>
      <c r="I142">
        <v>10</v>
      </c>
      <c r="J142" s="4">
        <v>6.85</v>
      </c>
      <c r="K142">
        <v>7.05</v>
      </c>
      <c r="L142">
        <v>0.31874680700000002</v>
      </c>
      <c r="M142">
        <v>13</v>
      </c>
      <c r="N142" s="4">
        <v>1.8</v>
      </c>
      <c r="O142" s="2">
        <v>0.09</v>
      </c>
      <c r="P142" s="2">
        <v>0.2</v>
      </c>
      <c r="Q142" s="2">
        <v>0.15</v>
      </c>
      <c r="R142" s="2">
        <v>7.0000000000000007E-2</v>
      </c>
      <c r="S142">
        <f t="shared" si="2"/>
        <v>0.51</v>
      </c>
    </row>
    <row r="143" spans="1:19" x14ac:dyDescent="0.2">
      <c r="A143">
        <v>10</v>
      </c>
      <c r="B143" t="s">
        <v>28</v>
      </c>
      <c r="C143">
        <v>7</v>
      </c>
      <c r="D143" t="s">
        <v>15</v>
      </c>
      <c r="E143" t="s">
        <v>29</v>
      </c>
      <c r="F143" t="s">
        <v>17</v>
      </c>
      <c r="G143" t="s">
        <v>17</v>
      </c>
      <c r="H143" t="s">
        <v>17</v>
      </c>
      <c r="I143">
        <v>10</v>
      </c>
      <c r="J143" s="4">
        <v>8.4499999999999993</v>
      </c>
      <c r="K143">
        <v>7.5</v>
      </c>
      <c r="L143">
        <v>0.32231208300000003</v>
      </c>
      <c r="M143">
        <v>13.1</v>
      </c>
      <c r="N143" s="4">
        <v>1.6</v>
      </c>
      <c r="O143" s="2">
        <v>0.08</v>
      </c>
      <c r="P143" s="2">
        <v>0.12</v>
      </c>
      <c r="Q143" s="2">
        <v>0.2</v>
      </c>
      <c r="R143" s="2">
        <v>0.05</v>
      </c>
      <c r="S143">
        <f t="shared" si="2"/>
        <v>0.45</v>
      </c>
    </row>
    <row r="144" spans="1:19" x14ac:dyDescent="0.2">
      <c r="A144">
        <v>10</v>
      </c>
      <c r="B144" t="s">
        <v>30</v>
      </c>
      <c r="C144">
        <v>8</v>
      </c>
      <c r="D144" t="s">
        <v>15</v>
      </c>
      <c r="E144" t="s">
        <v>29</v>
      </c>
      <c r="F144" t="s">
        <v>17</v>
      </c>
      <c r="G144" t="s">
        <v>17</v>
      </c>
      <c r="H144" t="s">
        <v>17</v>
      </c>
      <c r="I144">
        <v>10</v>
      </c>
      <c r="J144" s="4">
        <v>8.1</v>
      </c>
      <c r="K144">
        <v>7</v>
      </c>
      <c r="L144">
        <v>0.330183526</v>
      </c>
      <c r="M144">
        <v>16</v>
      </c>
      <c r="N144" s="4">
        <v>1.8</v>
      </c>
      <c r="O144" s="2">
        <v>0.1</v>
      </c>
      <c r="P144" s="2">
        <v>0.08</v>
      </c>
      <c r="Q144" s="2">
        <v>0.25</v>
      </c>
      <c r="R144" s="2">
        <v>0.03</v>
      </c>
      <c r="S144">
        <f t="shared" si="2"/>
        <v>0.45999999999999996</v>
      </c>
    </row>
    <row r="145" spans="1:19" x14ac:dyDescent="0.2">
      <c r="A145">
        <v>10</v>
      </c>
      <c r="B145" t="s">
        <v>31</v>
      </c>
      <c r="C145">
        <v>9</v>
      </c>
      <c r="D145" t="s">
        <v>15</v>
      </c>
      <c r="E145" t="s">
        <v>29</v>
      </c>
      <c r="F145">
        <v>1.906209555</v>
      </c>
      <c r="G145" s="1">
        <v>-4.5400000000000003E-8</v>
      </c>
      <c r="H145" s="1">
        <v>-6.2899999999999997E-5</v>
      </c>
      <c r="I145">
        <v>10</v>
      </c>
      <c r="J145" s="4">
        <v>8.15</v>
      </c>
      <c r="K145">
        <v>7.65</v>
      </c>
      <c r="L145">
        <v>0.332302981</v>
      </c>
      <c r="M145">
        <v>26</v>
      </c>
      <c r="N145" s="4">
        <v>1.4</v>
      </c>
      <c r="O145" s="2">
        <v>0.12</v>
      </c>
      <c r="P145" s="2">
        <v>0.05</v>
      </c>
      <c r="Q145" s="2">
        <v>0.28000000000000003</v>
      </c>
      <c r="R145" s="2">
        <v>0.02</v>
      </c>
      <c r="S145">
        <f t="shared" si="2"/>
        <v>0.47000000000000003</v>
      </c>
    </row>
    <row r="146" spans="1:19" x14ac:dyDescent="0.2">
      <c r="A146">
        <v>10</v>
      </c>
      <c r="B146" t="s">
        <v>32</v>
      </c>
      <c r="C146">
        <v>10</v>
      </c>
      <c r="D146" t="s">
        <v>15</v>
      </c>
      <c r="E146" t="s">
        <v>33</v>
      </c>
      <c r="F146" t="s">
        <v>17</v>
      </c>
      <c r="G146" t="s">
        <v>17</v>
      </c>
      <c r="H146" t="s">
        <v>17</v>
      </c>
      <c r="I146">
        <v>10</v>
      </c>
      <c r="J146" s="4">
        <v>8.6999999999999993</v>
      </c>
      <c r="K146">
        <v>6.65</v>
      </c>
      <c r="L146">
        <v>0.33398968099999998</v>
      </c>
      <c r="M146">
        <v>27.7</v>
      </c>
      <c r="N146" s="4">
        <v>1.6</v>
      </c>
      <c r="O146" s="2">
        <v>0.18</v>
      </c>
      <c r="P146" s="2">
        <v>0.05</v>
      </c>
      <c r="Q146" s="2">
        <v>0.28999999999999998</v>
      </c>
      <c r="R146" s="2">
        <v>0.01</v>
      </c>
      <c r="S146">
        <f t="shared" si="2"/>
        <v>0.53</v>
      </c>
    </row>
    <row r="147" spans="1:19" x14ac:dyDescent="0.2">
      <c r="A147">
        <v>10</v>
      </c>
      <c r="B147" t="s">
        <v>35</v>
      </c>
      <c r="C147">
        <v>11</v>
      </c>
      <c r="D147" t="s">
        <v>15</v>
      </c>
      <c r="E147" t="s">
        <v>33</v>
      </c>
      <c r="F147">
        <v>1.5115979749999999</v>
      </c>
      <c r="G147" s="1">
        <v>1.9500000000000001E-9</v>
      </c>
      <c r="H147" s="1">
        <v>2.7099999999999999E-6</v>
      </c>
      <c r="I147">
        <v>10</v>
      </c>
      <c r="J147" s="4">
        <v>9</v>
      </c>
      <c r="K147">
        <v>6.9</v>
      </c>
      <c r="L147">
        <v>0.33768556399999999</v>
      </c>
      <c r="M147">
        <v>30.7</v>
      </c>
      <c r="N147" s="4">
        <v>1.6</v>
      </c>
      <c r="O147" s="2">
        <v>0.21</v>
      </c>
      <c r="P147" s="2">
        <v>0.05</v>
      </c>
      <c r="Q147" s="2">
        <v>0.31</v>
      </c>
      <c r="R147" s="2">
        <v>0.01</v>
      </c>
      <c r="S147">
        <f t="shared" si="2"/>
        <v>0.58000000000000007</v>
      </c>
    </row>
    <row r="148" spans="1:19" x14ac:dyDescent="0.2">
      <c r="A148">
        <v>10</v>
      </c>
      <c r="B148" t="s">
        <v>36</v>
      </c>
      <c r="C148">
        <v>12</v>
      </c>
      <c r="D148" t="s">
        <v>15</v>
      </c>
      <c r="E148" t="s">
        <v>37</v>
      </c>
      <c r="F148" t="s">
        <v>17</v>
      </c>
      <c r="G148" t="s">
        <v>17</v>
      </c>
      <c r="H148" t="s">
        <v>17</v>
      </c>
      <c r="I148">
        <v>10</v>
      </c>
      <c r="J148" s="4">
        <v>6.9</v>
      </c>
      <c r="K148">
        <v>7.1</v>
      </c>
      <c r="L148">
        <v>0.34554065099999998</v>
      </c>
      <c r="M148">
        <v>30.2</v>
      </c>
      <c r="N148" s="4">
        <v>1</v>
      </c>
      <c r="O148" s="2">
        <v>0.25</v>
      </c>
      <c r="P148" s="2">
        <v>0.05</v>
      </c>
      <c r="Q148" s="2">
        <v>0.35</v>
      </c>
      <c r="R148" s="2">
        <v>0.01</v>
      </c>
      <c r="S148">
        <f t="shared" si="2"/>
        <v>0.65999999999999992</v>
      </c>
    </row>
    <row r="149" spans="1:19" x14ac:dyDescent="0.2">
      <c r="A149">
        <v>10</v>
      </c>
      <c r="B149" t="s">
        <v>38</v>
      </c>
      <c r="C149">
        <v>13</v>
      </c>
      <c r="D149" t="s">
        <v>15</v>
      </c>
      <c r="E149" t="s">
        <v>37</v>
      </c>
      <c r="F149">
        <v>1.6008020249999999</v>
      </c>
      <c r="G149" s="1">
        <v>-2.6700000000000001E-8</v>
      </c>
      <c r="H149" s="1">
        <v>-3.6999999999999998E-5</v>
      </c>
      <c r="I149">
        <v>2.5</v>
      </c>
      <c r="J149" s="4">
        <v>7.5</v>
      </c>
      <c r="K149">
        <v>7.4</v>
      </c>
      <c r="L149">
        <v>0.34864654099999998</v>
      </c>
      <c r="M149" s="4">
        <v>31.1</v>
      </c>
      <c r="N149" s="4">
        <v>0.8</v>
      </c>
      <c r="O149" s="2">
        <v>0.28000000000000003</v>
      </c>
      <c r="P149" s="2">
        <v>0.05</v>
      </c>
      <c r="Q149" s="2">
        <v>0.4</v>
      </c>
      <c r="R149" s="2">
        <v>0.01</v>
      </c>
      <c r="S149">
        <f t="shared" si="2"/>
        <v>0.74</v>
      </c>
    </row>
    <row r="150" spans="1:19" x14ac:dyDescent="0.2">
      <c r="A150">
        <v>10</v>
      </c>
      <c r="B150" t="s">
        <v>39</v>
      </c>
      <c r="C150">
        <v>14</v>
      </c>
      <c r="D150" t="s">
        <v>15</v>
      </c>
      <c r="E150" t="s">
        <v>37</v>
      </c>
      <c r="F150" t="s">
        <v>17</v>
      </c>
      <c r="G150" t="s">
        <v>17</v>
      </c>
      <c r="H150" t="s">
        <v>17</v>
      </c>
      <c r="I150">
        <v>0.5</v>
      </c>
      <c r="J150" s="4">
        <v>8.0500000000000007</v>
      </c>
      <c r="K150">
        <v>7.05</v>
      </c>
      <c r="L150">
        <v>0.34804326299999999</v>
      </c>
      <c r="M150" s="4">
        <v>31.1</v>
      </c>
      <c r="N150" s="4">
        <v>1</v>
      </c>
      <c r="O150" s="2">
        <v>0.28999999999999998</v>
      </c>
      <c r="P150" s="2">
        <v>0.05</v>
      </c>
      <c r="Q150" s="2">
        <v>0.41</v>
      </c>
      <c r="R150" s="2">
        <v>0.01</v>
      </c>
      <c r="S150">
        <f t="shared" si="2"/>
        <v>0.76</v>
      </c>
    </row>
    <row r="151" spans="1:19" x14ac:dyDescent="0.2">
      <c r="A151">
        <v>10</v>
      </c>
      <c r="B151" t="s">
        <v>40</v>
      </c>
      <c r="C151">
        <v>15</v>
      </c>
      <c r="D151" t="s">
        <v>15</v>
      </c>
      <c r="E151" t="s">
        <v>37</v>
      </c>
      <c r="F151">
        <v>0.49352923300000001</v>
      </c>
      <c r="G151" s="1">
        <v>-9.5299999999999991E-10</v>
      </c>
      <c r="H151" s="1">
        <v>-1.3200000000000001E-6</v>
      </c>
      <c r="I151">
        <v>-1.5</v>
      </c>
      <c r="J151" s="4">
        <v>6.1</v>
      </c>
      <c r="K151">
        <v>7.25</v>
      </c>
      <c r="L151">
        <v>0.34176518500000003</v>
      </c>
      <c r="M151" s="4">
        <v>31</v>
      </c>
      <c r="N151" s="4" t="s">
        <v>17</v>
      </c>
      <c r="O151" s="2">
        <v>0.28000000000000003</v>
      </c>
      <c r="P151" s="2">
        <v>0.05</v>
      </c>
      <c r="Q151" s="2">
        <v>0.4</v>
      </c>
      <c r="R151" s="2">
        <v>0.01</v>
      </c>
      <c r="S151">
        <f t="shared" si="2"/>
        <v>0.74</v>
      </c>
    </row>
    <row r="152" spans="1:19" x14ac:dyDescent="0.2">
      <c r="A152">
        <v>11</v>
      </c>
      <c r="B152" t="s">
        <v>14</v>
      </c>
      <c r="C152">
        <v>1</v>
      </c>
      <c r="D152" t="s">
        <v>18</v>
      </c>
      <c r="E152" t="s">
        <v>16</v>
      </c>
      <c r="F152" t="s">
        <v>17</v>
      </c>
      <c r="G152" t="s">
        <v>17</v>
      </c>
      <c r="H152" t="s">
        <v>17</v>
      </c>
      <c r="I152">
        <v>10</v>
      </c>
      <c r="J152" s="4">
        <v>6</v>
      </c>
      <c r="K152">
        <v>7.4</v>
      </c>
      <c r="L152">
        <v>0.30338371600000003</v>
      </c>
      <c r="M152" s="4" t="s">
        <v>17</v>
      </c>
      <c r="N152" s="4">
        <v>1.4</v>
      </c>
      <c r="O152" s="2">
        <v>0.01</v>
      </c>
      <c r="P152" s="2">
        <v>0</v>
      </c>
      <c r="Q152" s="2">
        <v>0</v>
      </c>
      <c r="R152" s="2">
        <v>0</v>
      </c>
      <c r="S152">
        <f t="shared" si="2"/>
        <v>0.01</v>
      </c>
    </row>
    <row r="153" spans="1:19" x14ac:dyDescent="0.2">
      <c r="A153">
        <v>11</v>
      </c>
      <c r="B153" t="s">
        <v>20</v>
      </c>
      <c r="C153">
        <v>2</v>
      </c>
      <c r="D153" t="s">
        <v>18</v>
      </c>
      <c r="E153" t="s">
        <v>16</v>
      </c>
      <c r="F153" t="s">
        <v>17</v>
      </c>
      <c r="G153" t="s">
        <v>17</v>
      </c>
      <c r="H153" t="s">
        <v>17</v>
      </c>
      <c r="I153">
        <v>10</v>
      </c>
      <c r="J153" s="4">
        <v>4.7</v>
      </c>
      <c r="K153">
        <v>7.5</v>
      </c>
      <c r="L153">
        <v>0.30799012100000001</v>
      </c>
      <c r="M153" s="4" t="s">
        <v>17</v>
      </c>
      <c r="N153" s="4">
        <v>1.4</v>
      </c>
      <c r="O153" s="2">
        <v>0.03</v>
      </c>
      <c r="P153" s="2">
        <v>0.02</v>
      </c>
      <c r="Q153" s="2">
        <v>0</v>
      </c>
      <c r="R153" s="2">
        <v>0</v>
      </c>
      <c r="S153">
        <f t="shared" si="2"/>
        <v>0.05</v>
      </c>
    </row>
    <row r="154" spans="1:19" x14ac:dyDescent="0.2">
      <c r="A154">
        <v>11</v>
      </c>
      <c r="B154" t="s">
        <v>21</v>
      </c>
      <c r="C154">
        <v>3</v>
      </c>
      <c r="D154" t="s">
        <v>18</v>
      </c>
      <c r="E154" t="s">
        <v>22</v>
      </c>
      <c r="F154" t="s">
        <v>17</v>
      </c>
      <c r="G154" t="s">
        <v>17</v>
      </c>
      <c r="H154" t="s">
        <v>17</v>
      </c>
      <c r="I154">
        <v>10</v>
      </c>
      <c r="J154" s="4">
        <v>6.8</v>
      </c>
      <c r="K154">
        <v>7.55</v>
      </c>
      <c r="L154">
        <v>0.30825667499999998</v>
      </c>
      <c r="M154" s="4">
        <v>16.100000000000001</v>
      </c>
      <c r="N154" s="4" t="s">
        <v>17</v>
      </c>
      <c r="O154" s="2">
        <v>0.03</v>
      </c>
      <c r="P154" s="2">
        <v>0.1</v>
      </c>
      <c r="Q154" s="2">
        <v>0</v>
      </c>
      <c r="R154" s="2">
        <v>0</v>
      </c>
      <c r="S154">
        <f t="shared" si="2"/>
        <v>0.13</v>
      </c>
    </row>
    <row r="155" spans="1:19" x14ac:dyDescent="0.2">
      <c r="A155">
        <v>11</v>
      </c>
      <c r="B155" t="s">
        <v>23</v>
      </c>
      <c r="C155">
        <v>4</v>
      </c>
      <c r="D155" t="s">
        <v>18</v>
      </c>
      <c r="E155" t="s">
        <v>22</v>
      </c>
      <c r="F155" t="s">
        <v>17</v>
      </c>
      <c r="G155" t="s">
        <v>17</v>
      </c>
      <c r="H155" t="s">
        <v>17</v>
      </c>
      <c r="I155">
        <v>10</v>
      </c>
      <c r="J155" s="4">
        <v>9.8000000000000007</v>
      </c>
      <c r="K155">
        <v>7.4</v>
      </c>
      <c r="L155">
        <v>0.31316999499999998</v>
      </c>
      <c r="M155" s="4">
        <v>16.100000000000001</v>
      </c>
      <c r="N155" s="4">
        <v>1.4</v>
      </c>
      <c r="O155" s="2">
        <v>0.1</v>
      </c>
      <c r="P155" s="2">
        <v>0.15</v>
      </c>
      <c r="Q155" s="2">
        <v>0</v>
      </c>
      <c r="R155" s="2">
        <v>0</v>
      </c>
      <c r="S155">
        <f t="shared" si="2"/>
        <v>0.25</v>
      </c>
    </row>
    <row r="156" spans="1:19" x14ac:dyDescent="0.2">
      <c r="A156">
        <v>11</v>
      </c>
      <c r="B156" t="s">
        <v>24</v>
      </c>
      <c r="C156">
        <v>5</v>
      </c>
      <c r="D156" t="s">
        <v>18</v>
      </c>
      <c r="E156" t="s">
        <v>25</v>
      </c>
      <c r="F156">
        <v>0.46324159300000001</v>
      </c>
      <c r="G156" s="1">
        <v>-3.1899999999999998E-7</v>
      </c>
      <c r="H156" s="1">
        <v>-4.4200000000000001E-4</v>
      </c>
      <c r="I156">
        <v>16</v>
      </c>
      <c r="J156" s="4">
        <v>9.9499999999999993</v>
      </c>
      <c r="K156">
        <v>7.05</v>
      </c>
      <c r="L156">
        <v>0.31543196099999998</v>
      </c>
      <c r="M156" s="4">
        <v>25.6</v>
      </c>
      <c r="N156" s="4">
        <v>1.4</v>
      </c>
      <c r="O156" s="2">
        <v>0.17</v>
      </c>
      <c r="P156" s="2">
        <v>0.17</v>
      </c>
      <c r="Q156" s="2">
        <v>0</v>
      </c>
      <c r="R156" s="2">
        <v>0.01</v>
      </c>
      <c r="S156">
        <f t="shared" si="2"/>
        <v>0.35000000000000003</v>
      </c>
    </row>
    <row r="157" spans="1:19" x14ac:dyDescent="0.2">
      <c r="A157">
        <v>11</v>
      </c>
      <c r="B157" t="s">
        <v>26</v>
      </c>
      <c r="C157">
        <v>6</v>
      </c>
      <c r="D157" t="s">
        <v>18</v>
      </c>
      <c r="E157" t="s">
        <v>27</v>
      </c>
      <c r="F157">
        <v>5.675480297</v>
      </c>
      <c r="G157" s="1">
        <v>-5.1100000000000001E-8</v>
      </c>
      <c r="H157" s="1">
        <v>-7.08E-5</v>
      </c>
      <c r="I157">
        <v>16</v>
      </c>
      <c r="J157" s="4">
        <v>9.5</v>
      </c>
      <c r="K157">
        <v>7.05</v>
      </c>
      <c r="L157">
        <v>0.32294819699999999</v>
      </c>
      <c r="M157">
        <v>33.799999999999997</v>
      </c>
      <c r="N157" s="4">
        <v>1.6</v>
      </c>
      <c r="O157" s="2">
        <v>0.2</v>
      </c>
      <c r="P157" s="2">
        <v>0.2</v>
      </c>
      <c r="Q157" s="2">
        <v>0</v>
      </c>
      <c r="R157" s="2">
        <v>0.01</v>
      </c>
      <c r="S157">
        <f t="shared" si="2"/>
        <v>0.41000000000000003</v>
      </c>
    </row>
    <row r="158" spans="1:19" x14ac:dyDescent="0.2">
      <c r="A158">
        <v>11</v>
      </c>
      <c r="B158" t="s">
        <v>28</v>
      </c>
      <c r="C158">
        <v>7</v>
      </c>
      <c r="D158" t="s">
        <v>18</v>
      </c>
      <c r="E158" t="s">
        <v>29</v>
      </c>
      <c r="F158" t="s">
        <v>17</v>
      </c>
      <c r="G158" t="s">
        <v>17</v>
      </c>
      <c r="H158" t="s">
        <v>17</v>
      </c>
      <c r="I158">
        <v>6.625</v>
      </c>
      <c r="J158" s="4">
        <v>9.9499999999999993</v>
      </c>
      <c r="K158">
        <v>7.1</v>
      </c>
      <c r="L158">
        <v>0.32930917500000001</v>
      </c>
      <c r="M158">
        <v>37.1</v>
      </c>
      <c r="N158" s="4">
        <v>0.8</v>
      </c>
      <c r="O158" s="2">
        <v>0.3</v>
      </c>
      <c r="P158" s="2">
        <v>0.22</v>
      </c>
      <c r="Q158" s="2">
        <v>0</v>
      </c>
      <c r="R158" s="2">
        <v>0.01</v>
      </c>
      <c r="S158">
        <f t="shared" si="2"/>
        <v>0.53</v>
      </c>
    </row>
    <row r="159" spans="1:19" x14ac:dyDescent="0.2">
      <c r="A159">
        <v>11</v>
      </c>
      <c r="B159" t="s">
        <v>30</v>
      </c>
      <c r="C159">
        <v>8</v>
      </c>
      <c r="D159" t="s">
        <v>18</v>
      </c>
      <c r="E159" t="s">
        <v>29</v>
      </c>
      <c r="F159" t="s">
        <v>17</v>
      </c>
      <c r="G159" t="s">
        <v>17</v>
      </c>
      <c r="H159" t="s">
        <v>17</v>
      </c>
      <c r="I159">
        <v>6.625</v>
      </c>
      <c r="J159" s="4">
        <v>9.5500000000000007</v>
      </c>
      <c r="K159">
        <v>7.15</v>
      </c>
      <c r="L159">
        <v>0.32917384100000002</v>
      </c>
      <c r="M159">
        <v>39.1</v>
      </c>
      <c r="N159" s="4">
        <v>1.6</v>
      </c>
      <c r="O159" s="2">
        <v>0.35</v>
      </c>
      <c r="P159" s="2">
        <v>0.23</v>
      </c>
      <c r="Q159" s="2">
        <v>0</v>
      </c>
      <c r="R159" s="2">
        <v>0.01</v>
      </c>
      <c r="S159">
        <f t="shared" si="2"/>
        <v>0.59</v>
      </c>
    </row>
    <row r="160" spans="1:19" x14ac:dyDescent="0.2">
      <c r="A160">
        <v>11</v>
      </c>
      <c r="B160" t="s">
        <v>31</v>
      </c>
      <c r="C160">
        <v>9</v>
      </c>
      <c r="D160" t="s">
        <v>18</v>
      </c>
      <c r="E160" t="s">
        <v>29</v>
      </c>
      <c r="F160">
        <v>1.9373743400000001</v>
      </c>
      <c r="G160" s="1">
        <v>-4.4099999999999998E-8</v>
      </c>
      <c r="H160" s="1">
        <v>-6.1199999999999997E-5</v>
      </c>
      <c r="I160">
        <v>4.75</v>
      </c>
      <c r="J160" s="4">
        <v>9.4499999999999993</v>
      </c>
      <c r="K160">
        <v>7.05</v>
      </c>
      <c r="L160">
        <v>0.332532895</v>
      </c>
      <c r="M160">
        <v>39.4</v>
      </c>
      <c r="N160" s="4">
        <v>1</v>
      </c>
      <c r="O160" s="2">
        <v>0.4</v>
      </c>
      <c r="P160" s="2">
        <v>0.25</v>
      </c>
      <c r="Q160" s="2">
        <v>0</v>
      </c>
      <c r="R160" s="2">
        <v>0.01</v>
      </c>
      <c r="S160">
        <f t="shared" si="2"/>
        <v>0.66</v>
      </c>
    </row>
    <row r="161" spans="1:19" x14ac:dyDescent="0.2">
      <c r="A161">
        <v>11</v>
      </c>
      <c r="B161" t="s">
        <v>34</v>
      </c>
      <c r="C161">
        <v>10</v>
      </c>
      <c r="D161" t="s">
        <v>18</v>
      </c>
      <c r="E161" t="s">
        <v>33</v>
      </c>
      <c r="F161" t="s">
        <v>17</v>
      </c>
      <c r="G161" t="s">
        <v>17</v>
      </c>
      <c r="H161" t="s">
        <v>17</v>
      </c>
      <c r="I161">
        <v>2.5</v>
      </c>
      <c r="J161" s="4">
        <v>9.15</v>
      </c>
      <c r="K161">
        <v>6.95</v>
      </c>
      <c r="L161">
        <v>0.329617522</v>
      </c>
      <c r="M161">
        <v>41.8</v>
      </c>
      <c r="N161" s="4">
        <v>1</v>
      </c>
      <c r="O161" s="2">
        <v>0.04</v>
      </c>
      <c r="P161" s="2">
        <v>0.26</v>
      </c>
      <c r="Q161" s="2">
        <v>0</v>
      </c>
      <c r="R161" s="2">
        <v>0</v>
      </c>
      <c r="S161">
        <f t="shared" si="2"/>
        <v>0.3</v>
      </c>
    </row>
    <row r="162" spans="1:19" x14ac:dyDescent="0.2">
      <c r="A162">
        <v>11</v>
      </c>
      <c r="B162" t="s">
        <v>35</v>
      </c>
      <c r="C162">
        <v>11</v>
      </c>
      <c r="D162" t="s">
        <v>18</v>
      </c>
      <c r="E162" t="s">
        <v>33</v>
      </c>
      <c r="F162">
        <v>1.8152554270000001</v>
      </c>
      <c r="G162" s="1">
        <v>-8.6399999999999999E-9</v>
      </c>
      <c r="H162" s="1">
        <v>-1.2E-5</v>
      </c>
      <c r="I162">
        <v>0.5</v>
      </c>
      <c r="J162" s="4">
        <v>9.4499999999999993</v>
      </c>
      <c r="K162">
        <v>6.9</v>
      </c>
      <c r="L162">
        <v>0.32782808699999999</v>
      </c>
      <c r="M162">
        <v>39.5</v>
      </c>
      <c r="N162" s="4">
        <v>1</v>
      </c>
      <c r="O162" s="2">
        <v>0.39</v>
      </c>
      <c r="P162" s="2">
        <v>0.27</v>
      </c>
      <c r="Q162" s="2">
        <v>0</v>
      </c>
      <c r="R162" s="2">
        <v>0.01</v>
      </c>
      <c r="S162">
        <f t="shared" si="2"/>
        <v>0.67</v>
      </c>
    </row>
    <row r="163" spans="1:19" x14ac:dyDescent="0.2">
      <c r="A163">
        <v>11</v>
      </c>
      <c r="B163" t="s">
        <v>36</v>
      </c>
      <c r="C163">
        <v>12</v>
      </c>
      <c r="D163" t="s">
        <v>18</v>
      </c>
      <c r="E163" t="s">
        <v>37</v>
      </c>
      <c r="F163" t="s">
        <v>17</v>
      </c>
      <c r="G163" t="s">
        <v>17</v>
      </c>
      <c r="H163" t="s">
        <v>17</v>
      </c>
      <c r="I163">
        <v>-1.5</v>
      </c>
      <c r="J163" s="4">
        <v>7.95</v>
      </c>
      <c r="K163">
        <v>7.5</v>
      </c>
      <c r="L163">
        <v>0.324639236</v>
      </c>
      <c r="M163">
        <v>39.9</v>
      </c>
      <c r="N163" s="4">
        <v>14.2</v>
      </c>
      <c r="O163" s="2">
        <v>0.38</v>
      </c>
      <c r="P163" s="2">
        <v>0.27</v>
      </c>
      <c r="Q163" s="2">
        <v>0</v>
      </c>
      <c r="R163" s="2">
        <v>0</v>
      </c>
      <c r="S163">
        <f t="shared" si="2"/>
        <v>0.65</v>
      </c>
    </row>
    <row r="164" spans="1:19" x14ac:dyDescent="0.2">
      <c r="A164">
        <v>11</v>
      </c>
      <c r="B164" t="s">
        <v>38</v>
      </c>
      <c r="C164">
        <v>13</v>
      </c>
      <c r="D164" t="s">
        <v>18</v>
      </c>
      <c r="E164" t="s">
        <v>37</v>
      </c>
      <c r="F164" t="s">
        <v>17</v>
      </c>
      <c r="G164" t="s">
        <v>17</v>
      </c>
      <c r="H164" t="s">
        <v>17</v>
      </c>
      <c r="I164" t="s">
        <v>17</v>
      </c>
      <c r="J164" s="4" t="s">
        <v>17</v>
      </c>
      <c r="K164" t="s">
        <v>17</v>
      </c>
      <c r="L164" t="s">
        <v>17</v>
      </c>
      <c r="M164" t="s">
        <v>17</v>
      </c>
      <c r="N164" s="4" t="s">
        <v>17</v>
      </c>
      <c r="O164" s="2" t="s">
        <v>17</v>
      </c>
      <c r="P164" t="s">
        <v>17</v>
      </c>
      <c r="Q164" t="s">
        <v>17</v>
      </c>
      <c r="R164" t="s">
        <v>17</v>
      </c>
      <c r="S164" t="s">
        <v>17</v>
      </c>
    </row>
    <row r="165" spans="1:19" x14ac:dyDescent="0.2">
      <c r="A165">
        <v>11</v>
      </c>
      <c r="B165" t="s">
        <v>39</v>
      </c>
      <c r="C165">
        <v>14</v>
      </c>
      <c r="D165" t="s">
        <v>18</v>
      </c>
      <c r="E165" t="s">
        <v>37</v>
      </c>
      <c r="F165" t="s">
        <v>17</v>
      </c>
      <c r="G165" t="s">
        <v>17</v>
      </c>
      <c r="H165" t="s">
        <v>17</v>
      </c>
      <c r="I165" t="s">
        <v>17</v>
      </c>
      <c r="J165" s="4" t="s">
        <v>17</v>
      </c>
      <c r="K165" t="s">
        <v>17</v>
      </c>
      <c r="L165" t="s">
        <v>17</v>
      </c>
      <c r="M165" s="4" t="s">
        <v>17</v>
      </c>
      <c r="N165" s="4" t="s">
        <v>17</v>
      </c>
      <c r="O165" s="2" t="s">
        <v>17</v>
      </c>
      <c r="P165" t="s">
        <v>17</v>
      </c>
      <c r="Q165" t="s">
        <v>17</v>
      </c>
      <c r="R165" t="s">
        <v>17</v>
      </c>
      <c r="S165" t="s">
        <v>17</v>
      </c>
    </row>
    <row r="166" spans="1:19" x14ac:dyDescent="0.2">
      <c r="A166">
        <v>11</v>
      </c>
      <c r="B166" t="s">
        <v>40</v>
      </c>
      <c r="C166">
        <v>15</v>
      </c>
      <c r="D166" t="s">
        <v>18</v>
      </c>
      <c r="E166" t="s">
        <v>37</v>
      </c>
      <c r="F166" t="s">
        <v>17</v>
      </c>
      <c r="G166" t="s">
        <v>17</v>
      </c>
      <c r="H166" t="s">
        <v>17</v>
      </c>
      <c r="I166" t="s">
        <v>17</v>
      </c>
      <c r="J166" s="4" t="s">
        <v>17</v>
      </c>
      <c r="K166" t="s">
        <v>17</v>
      </c>
      <c r="L166" t="s">
        <v>17</v>
      </c>
      <c r="M166" s="4" t="s">
        <v>17</v>
      </c>
      <c r="N166" s="4" t="s">
        <v>17</v>
      </c>
      <c r="O166" s="2" t="s">
        <v>17</v>
      </c>
      <c r="P166" t="s">
        <v>17</v>
      </c>
      <c r="Q166" t="s">
        <v>17</v>
      </c>
      <c r="R166" t="s">
        <v>17</v>
      </c>
      <c r="S166" t="s">
        <v>17</v>
      </c>
    </row>
    <row r="167" spans="1:19" x14ac:dyDescent="0.2">
      <c r="A167">
        <v>12</v>
      </c>
      <c r="B167" t="s">
        <v>14</v>
      </c>
      <c r="C167">
        <v>1</v>
      </c>
      <c r="D167" t="s">
        <v>18</v>
      </c>
      <c r="E167" t="s">
        <v>16</v>
      </c>
      <c r="F167" t="s">
        <v>17</v>
      </c>
      <c r="G167" t="s">
        <v>17</v>
      </c>
      <c r="H167" t="s">
        <v>17</v>
      </c>
      <c r="I167">
        <v>10</v>
      </c>
      <c r="J167" s="4">
        <v>6.05</v>
      </c>
      <c r="K167">
        <v>7.4</v>
      </c>
      <c r="L167">
        <v>0.30608011499999999</v>
      </c>
      <c r="M167" s="4" t="s">
        <v>17</v>
      </c>
      <c r="N167" s="4">
        <v>1.8</v>
      </c>
      <c r="O167" s="2">
        <v>0.03</v>
      </c>
      <c r="P167" s="2">
        <v>0.01</v>
      </c>
      <c r="Q167" s="2">
        <v>0</v>
      </c>
      <c r="R167" s="2">
        <v>0.1</v>
      </c>
      <c r="S167">
        <f t="shared" si="2"/>
        <v>0.14000000000000001</v>
      </c>
    </row>
    <row r="168" spans="1:19" x14ac:dyDescent="0.2">
      <c r="A168">
        <v>12</v>
      </c>
      <c r="B168" t="s">
        <v>20</v>
      </c>
      <c r="C168">
        <v>2</v>
      </c>
      <c r="D168" t="s">
        <v>18</v>
      </c>
      <c r="E168" t="s">
        <v>16</v>
      </c>
      <c r="F168" t="s">
        <v>17</v>
      </c>
      <c r="G168" t="s">
        <v>17</v>
      </c>
      <c r="H168" t="s">
        <v>17</v>
      </c>
      <c r="I168">
        <v>10</v>
      </c>
      <c r="J168" s="4">
        <v>5.8</v>
      </c>
      <c r="K168">
        <v>7.65</v>
      </c>
      <c r="L168">
        <v>0.31277409699999997</v>
      </c>
      <c r="M168" s="4" t="s">
        <v>17</v>
      </c>
      <c r="N168" s="4">
        <v>1.4</v>
      </c>
      <c r="O168" s="2">
        <v>0.05</v>
      </c>
      <c r="P168" s="2">
        <v>7.0000000000000007E-2</v>
      </c>
      <c r="Q168" s="2">
        <v>0.01</v>
      </c>
      <c r="R168" s="2">
        <v>0.11</v>
      </c>
      <c r="S168">
        <f t="shared" si="2"/>
        <v>0.24</v>
      </c>
    </row>
    <row r="169" spans="1:19" x14ac:dyDescent="0.2">
      <c r="A169">
        <v>12</v>
      </c>
      <c r="B169" t="s">
        <v>21</v>
      </c>
      <c r="C169">
        <v>3</v>
      </c>
      <c r="D169" t="s">
        <v>18</v>
      </c>
      <c r="E169" t="s">
        <v>22</v>
      </c>
      <c r="F169" t="s">
        <v>17</v>
      </c>
      <c r="G169" t="s">
        <v>17</v>
      </c>
      <c r="H169" t="s">
        <v>17</v>
      </c>
      <c r="I169">
        <v>10</v>
      </c>
      <c r="J169" s="4">
        <v>6.85</v>
      </c>
      <c r="K169">
        <v>7.7</v>
      </c>
      <c r="L169">
        <v>0.32266915200000001</v>
      </c>
      <c r="M169" s="4" t="s">
        <v>17</v>
      </c>
      <c r="N169" s="4">
        <v>1.6</v>
      </c>
      <c r="O169" s="2">
        <v>0.08</v>
      </c>
      <c r="P169" s="2">
        <v>0.2</v>
      </c>
      <c r="Q169" s="2">
        <v>0.01</v>
      </c>
      <c r="R169" s="2">
        <v>0.1</v>
      </c>
      <c r="S169">
        <f t="shared" si="2"/>
        <v>0.39</v>
      </c>
    </row>
    <row r="170" spans="1:19" x14ac:dyDescent="0.2">
      <c r="A170">
        <v>12</v>
      </c>
      <c r="B170" t="s">
        <v>23</v>
      </c>
      <c r="C170">
        <v>4</v>
      </c>
      <c r="D170" t="s">
        <v>18</v>
      </c>
      <c r="E170" t="s">
        <v>22</v>
      </c>
      <c r="F170" t="s">
        <v>17</v>
      </c>
      <c r="G170" t="s">
        <v>17</v>
      </c>
      <c r="H170" t="s">
        <v>17</v>
      </c>
      <c r="I170">
        <v>10</v>
      </c>
      <c r="J170" s="4">
        <v>7.85</v>
      </c>
      <c r="K170">
        <v>7.3</v>
      </c>
      <c r="L170">
        <v>0.32952499699999999</v>
      </c>
      <c r="M170" s="4">
        <v>10.6</v>
      </c>
      <c r="N170" s="4">
        <v>1.4</v>
      </c>
      <c r="O170" s="2">
        <v>0.1</v>
      </c>
      <c r="P170" s="2">
        <v>0.25</v>
      </c>
      <c r="Q170" s="2">
        <v>0.01</v>
      </c>
      <c r="R170" s="2">
        <v>0.05</v>
      </c>
      <c r="S170">
        <f t="shared" si="2"/>
        <v>0.41</v>
      </c>
    </row>
    <row r="171" spans="1:19" x14ac:dyDescent="0.2">
      <c r="A171">
        <v>12</v>
      </c>
      <c r="B171" t="s">
        <v>24</v>
      </c>
      <c r="C171">
        <v>5</v>
      </c>
      <c r="D171" t="s">
        <v>18</v>
      </c>
      <c r="E171" t="s">
        <v>25</v>
      </c>
      <c r="F171">
        <v>0.87699895699999997</v>
      </c>
      <c r="G171" s="1">
        <v>-3.1399999999999998E-7</v>
      </c>
      <c r="H171" s="1">
        <v>-4.35E-4</v>
      </c>
      <c r="I171">
        <v>16</v>
      </c>
      <c r="J171" s="4">
        <v>10</v>
      </c>
      <c r="K171">
        <v>7.25</v>
      </c>
      <c r="L171">
        <v>0.33380444999999997</v>
      </c>
      <c r="M171" s="4">
        <v>14.4</v>
      </c>
      <c r="N171" s="4">
        <v>1.8</v>
      </c>
      <c r="O171" s="2">
        <v>0.13</v>
      </c>
      <c r="P171" s="2">
        <v>0.28000000000000003</v>
      </c>
      <c r="Q171" s="2">
        <v>0.02</v>
      </c>
      <c r="R171" s="2">
        <v>0.04</v>
      </c>
      <c r="S171">
        <f t="shared" si="2"/>
        <v>0.47000000000000003</v>
      </c>
    </row>
    <row r="172" spans="1:19" x14ac:dyDescent="0.2">
      <c r="A172">
        <v>12</v>
      </c>
      <c r="B172" t="s">
        <v>26</v>
      </c>
      <c r="C172">
        <v>6</v>
      </c>
      <c r="D172" t="s">
        <v>18</v>
      </c>
      <c r="E172" t="s">
        <v>27</v>
      </c>
      <c r="F172">
        <v>3.8254393260000001</v>
      </c>
      <c r="G172" s="1">
        <v>-5.1100000000000001E-8</v>
      </c>
      <c r="H172" s="1">
        <v>-7.08E-5</v>
      </c>
      <c r="I172">
        <v>16</v>
      </c>
      <c r="J172" s="4">
        <v>9.3000000000000007</v>
      </c>
      <c r="K172">
        <v>6.95</v>
      </c>
      <c r="L172">
        <v>0.34604696400000001</v>
      </c>
      <c r="M172" s="4">
        <v>21.2</v>
      </c>
      <c r="N172" s="4">
        <v>1.4</v>
      </c>
      <c r="O172" s="2">
        <v>0.15</v>
      </c>
      <c r="P172" s="2">
        <v>0.35</v>
      </c>
      <c r="Q172" s="2">
        <v>0.03</v>
      </c>
      <c r="R172" s="2">
        <v>0.01</v>
      </c>
      <c r="S172">
        <f t="shared" si="2"/>
        <v>0.54</v>
      </c>
    </row>
    <row r="173" spans="1:19" x14ac:dyDescent="0.2">
      <c r="A173">
        <v>12</v>
      </c>
      <c r="B173" t="s">
        <v>28</v>
      </c>
      <c r="C173">
        <v>7</v>
      </c>
      <c r="D173" t="s">
        <v>18</v>
      </c>
      <c r="E173" t="s">
        <v>29</v>
      </c>
      <c r="F173" t="s">
        <v>17</v>
      </c>
      <c r="G173" t="s">
        <v>17</v>
      </c>
      <c r="H173" t="s">
        <v>17</v>
      </c>
      <c r="I173">
        <v>6.625</v>
      </c>
      <c r="J173" s="4">
        <v>9.6999999999999993</v>
      </c>
      <c r="K173">
        <v>6.95</v>
      </c>
      <c r="L173">
        <v>0.355529082</v>
      </c>
      <c r="M173" s="4">
        <v>23.7</v>
      </c>
      <c r="N173" s="4">
        <v>1</v>
      </c>
      <c r="O173" s="2">
        <v>0.3</v>
      </c>
      <c r="P173" s="2">
        <v>0.4</v>
      </c>
      <c r="Q173" s="2">
        <v>0.03</v>
      </c>
      <c r="R173" s="2">
        <v>0.01</v>
      </c>
      <c r="S173">
        <f t="shared" si="2"/>
        <v>0.74</v>
      </c>
    </row>
    <row r="174" spans="1:19" x14ac:dyDescent="0.2">
      <c r="A174">
        <v>12</v>
      </c>
      <c r="B174" t="s">
        <v>30</v>
      </c>
      <c r="C174">
        <v>8</v>
      </c>
      <c r="D174" t="s">
        <v>18</v>
      </c>
      <c r="E174" t="s">
        <v>29</v>
      </c>
      <c r="F174" t="s">
        <v>17</v>
      </c>
      <c r="G174" t="s">
        <v>17</v>
      </c>
      <c r="H174" t="s">
        <v>17</v>
      </c>
      <c r="I174">
        <v>6.625</v>
      </c>
      <c r="J174" s="4">
        <v>10</v>
      </c>
      <c r="K174">
        <v>7.25</v>
      </c>
      <c r="L174">
        <v>0.35734101899999998</v>
      </c>
      <c r="M174" s="4">
        <v>22.4</v>
      </c>
      <c r="N174" s="4">
        <v>1.4</v>
      </c>
      <c r="O174" s="2">
        <v>0.35</v>
      </c>
      <c r="P174" s="2">
        <v>0.4</v>
      </c>
      <c r="Q174" s="2">
        <v>0.03</v>
      </c>
      <c r="R174" s="2">
        <v>0.01</v>
      </c>
      <c r="S174">
        <f t="shared" si="2"/>
        <v>0.79</v>
      </c>
    </row>
    <row r="175" spans="1:19" x14ac:dyDescent="0.2">
      <c r="A175">
        <v>12</v>
      </c>
      <c r="B175" t="s">
        <v>31</v>
      </c>
      <c r="C175">
        <v>9</v>
      </c>
      <c r="D175" t="s">
        <v>18</v>
      </c>
      <c r="E175" t="s">
        <v>29</v>
      </c>
      <c r="F175">
        <v>2.0360647420000002</v>
      </c>
      <c r="G175" s="1">
        <v>-4.7699999999999997E-8</v>
      </c>
      <c r="H175" s="1">
        <v>-6.6099999999999994E-5</v>
      </c>
      <c r="I175">
        <v>4.75</v>
      </c>
      <c r="J175" s="4">
        <v>9.5500000000000007</v>
      </c>
      <c r="K175">
        <v>7.2</v>
      </c>
      <c r="L175">
        <v>0.36147652800000002</v>
      </c>
      <c r="M175" s="4">
        <v>24.3</v>
      </c>
      <c r="N175" s="4">
        <v>0.8</v>
      </c>
      <c r="O175" s="2">
        <v>0.34</v>
      </c>
      <c r="P175" s="2">
        <v>0.42</v>
      </c>
      <c r="Q175" s="2">
        <v>0.03</v>
      </c>
      <c r="R175" s="2">
        <v>0.01</v>
      </c>
      <c r="S175">
        <f t="shared" si="2"/>
        <v>0.8</v>
      </c>
    </row>
    <row r="176" spans="1:19" x14ac:dyDescent="0.2">
      <c r="A176">
        <v>12</v>
      </c>
      <c r="B176" t="s">
        <v>34</v>
      </c>
      <c r="C176">
        <v>10</v>
      </c>
      <c r="D176" t="s">
        <v>18</v>
      </c>
      <c r="E176" t="s">
        <v>33</v>
      </c>
      <c r="F176" t="s">
        <v>17</v>
      </c>
      <c r="G176" t="s">
        <v>17</v>
      </c>
      <c r="H176" t="s">
        <v>17</v>
      </c>
      <c r="I176">
        <v>2.5</v>
      </c>
      <c r="J176" s="4">
        <v>10</v>
      </c>
      <c r="K176">
        <v>6.55</v>
      </c>
      <c r="L176">
        <v>0.35632735300000001</v>
      </c>
      <c r="M176" s="4">
        <v>24.6</v>
      </c>
      <c r="N176" s="4">
        <v>0.8</v>
      </c>
      <c r="O176" s="2">
        <v>0.4</v>
      </c>
      <c r="P176" s="2">
        <v>0.42</v>
      </c>
      <c r="Q176" s="2">
        <v>0.03</v>
      </c>
      <c r="R176" s="2">
        <v>0.01</v>
      </c>
      <c r="S176">
        <f t="shared" si="2"/>
        <v>0.8600000000000001</v>
      </c>
    </row>
    <row r="177" spans="1:19" x14ac:dyDescent="0.2">
      <c r="A177">
        <v>12</v>
      </c>
      <c r="B177" t="s">
        <v>35</v>
      </c>
      <c r="C177">
        <v>11</v>
      </c>
      <c r="D177" t="s">
        <v>18</v>
      </c>
      <c r="E177" t="s">
        <v>33</v>
      </c>
      <c r="F177">
        <v>1.7282607619999999</v>
      </c>
      <c r="G177" s="1">
        <v>-7.6000000000000002E-9</v>
      </c>
      <c r="H177" s="1">
        <v>-1.0499999999999999E-5</v>
      </c>
      <c r="I177">
        <v>0.5</v>
      </c>
      <c r="J177" s="4">
        <v>9.85</v>
      </c>
      <c r="K177">
        <v>6.95</v>
      </c>
      <c r="L177">
        <v>0.35212025400000002</v>
      </c>
      <c r="M177" s="4">
        <v>23.7</v>
      </c>
      <c r="N177" s="4">
        <v>0.8</v>
      </c>
      <c r="O177" s="2">
        <v>0.4</v>
      </c>
      <c r="P177" s="2">
        <v>0.41</v>
      </c>
      <c r="Q177" s="2">
        <v>0.02</v>
      </c>
      <c r="R177" s="2">
        <v>0.01</v>
      </c>
      <c r="S177">
        <f t="shared" si="2"/>
        <v>0.84000000000000008</v>
      </c>
    </row>
    <row r="178" spans="1:19" x14ac:dyDescent="0.2">
      <c r="A178">
        <v>12</v>
      </c>
      <c r="B178" t="s">
        <v>36</v>
      </c>
      <c r="C178">
        <v>12</v>
      </c>
      <c r="D178" t="s">
        <v>18</v>
      </c>
      <c r="E178" t="s">
        <v>37</v>
      </c>
      <c r="F178" t="s">
        <v>17</v>
      </c>
      <c r="G178" t="s">
        <v>17</v>
      </c>
      <c r="H178" t="s">
        <v>17</v>
      </c>
      <c r="I178">
        <v>-1.5</v>
      </c>
      <c r="J178" s="4">
        <v>9.5</v>
      </c>
      <c r="K178">
        <v>7.45</v>
      </c>
      <c r="L178">
        <v>0.34511592699999999</v>
      </c>
      <c r="M178" s="4">
        <v>20.7</v>
      </c>
      <c r="N178" s="4">
        <v>15.2</v>
      </c>
      <c r="O178" s="2">
        <v>0.04</v>
      </c>
      <c r="P178" s="2">
        <v>0.1</v>
      </c>
      <c r="Q178" s="2">
        <v>0.03</v>
      </c>
      <c r="R178" s="2">
        <v>0.01</v>
      </c>
      <c r="S178">
        <f t="shared" si="2"/>
        <v>0.18000000000000002</v>
      </c>
    </row>
    <row r="179" spans="1:19" x14ac:dyDescent="0.2">
      <c r="A179">
        <v>12</v>
      </c>
      <c r="B179" t="s">
        <v>38</v>
      </c>
      <c r="C179">
        <v>13</v>
      </c>
      <c r="D179" t="s">
        <v>18</v>
      </c>
      <c r="E179" t="s">
        <v>37</v>
      </c>
      <c r="F179" t="s">
        <v>17</v>
      </c>
      <c r="G179" t="s">
        <v>17</v>
      </c>
      <c r="H179" t="s">
        <v>17</v>
      </c>
      <c r="I179" t="s">
        <v>17</v>
      </c>
      <c r="J179" s="4" t="s">
        <v>17</v>
      </c>
      <c r="K179" t="s">
        <v>17</v>
      </c>
      <c r="L179" t="s">
        <v>17</v>
      </c>
      <c r="M179" s="4" t="s">
        <v>17</v>
      </c>
      <c r="N179" s="4" t="s">
        <v>17</v>
      </c>
      <c r="O179" s="2" t="s">
        <v>17</v>
      </c>
      <c r="P179" t="s">
        <v>17</v>
      </c>
      <c r="Q179" t="s">
        <v>17</v>
      </c>
      <c r="R179" t="s">
        <v>17</v>
      </c>
      <c r="S179" t="s">
        <v>17</v>
      </c>
    </row>
    <row r="180" spans="1:19" x14ac:dyDescent="0.2">
      <c r="A180">
        <v>12</v>
      </c>
      <c r="B180" t="s">
        <v>39</v>
      </c>
      <c r="C180">
        <v>14</v>
      </c>
      <c r="D180" t="s">
        <v>18</v>
      </c>
      <c r="E180" t="s">
        <v>37</v>
      </c>
      <c r="F180" t="s">
        <v>17</v>
      </c>
      <c r="G180" t="s">
        <v>17</v>
      </c>
      <c r="H180" t="s">
        <v>17</v>
      </c>
      <c r="I180" t="s">
        <v>17</v>
      </c>
      <c r="J180" s="4" t="s">
        <v>17</v>
      </c>
      <c r="K180" t="s">
        <v>17</v>
      </c>
      <c r="L180" t="s">
        <v>17</v>
      </c>
      <c r="M180" s="4" t="s">
        <v>17</v>
      </c>
      <c r="N180" s="4" t="s">
        <v>17</v>
      </c>
      <c r="O180" s="2" t="s">
        <v>17</v>
      </c>
      <c r="P180" t="s">
        <v>17</v>
      </c>
      <c r="Q180" t="s">
        <v>17</v>
      </c>
      <c r="R180" t="s">
        <v>17</v>
      </c>
      <c r="S180" t="s">
        <v>17</v>
      </c>
    </row>
    <row r="181" spans="1:19" x14ac:dyDescent="0.2">
      <c r="A181">
        <v>12</v>
      </c>
      <c r="B181" t="s">
        <v>40</v>
      </c>
      <c r="C181">
        <v>15</v>
      </c>
      <c r="D181" t="s">
        <v>18</v>
      </c>
      <c r="E181" t="s">
        <v>37</v>
      </c>
      <c r="F181" t="s">
        <v>17</v>
      </c>
      <c r="G181" t="s">
        <v>17</v>
      </c>
      <c r="H181" t="s">
        <v>17</v>
      </c>
      <c r="I181" t="s">
        <v>17</v>
      </c>
      <c r="J181" s="4" t="s">
        <v>17</v>
      </c>
      <c r="K181" t="s">
        <v>17</v>
      </c>
      <c r="L181" t="s">
        <v>17</v>
      </c>
      <c r="M181" s="4" t="s">
        <v>17</v>
      </c>
      <c r="N181" s="4" t="s">
        <v>17</v>
      </c>
      <c r="O181" s="2" t="s">
        <v>17</v>
      </c>
      <c r="P181" t="s">
        <v>17</v>
      </c>
      <c r="Q181" t="s">
        <v>17</v>
      </c>
      <c r="R181" t="s">
        <v>17</v>
      </c>
      <c r="S181" t="s">
        <v>17</v>
      </c>
    </row>
    <row r="182" spans="1:19" x14ac:dyDescent="0.2">
      <c r="A182">
        <v>13</v>
      </c>
      <c r="B182" t="s">
        <v>14</v>
      </c>
      <c r="C182">
        <v>1</v>
      </c>
      <c r="D182" t="s">
        <v>18</v>
      </c>
      <c r="E182" t="s">
        <v>16</v>
      </c>
      <c r="F182" t="s">
        <v>17</v>
      </c>
      <c r="G182" t="s">
        <v>17</v>
      </c>
      <c r="H182" t="s">
        <v>17</v>
      </c>
      <c r="I182">
        <v>10</v>
      </c>
      <c r="J182" s="4">
        <v>5.6</v>
      </c>
      <c r="K182">
        <v>7.35</v>
      </c>
      <c r="L182">
        <v>0.30478109399999997</v>
      </c>
      <c r="M182" s="4" t="s">
        <v>17</v>
      </c>
      <c r="N182" s="4">
        <v>1.6</v>
      </c>
      <c r="O182" s="2">
        <v>0.03</v>
      </c>
      <c r="P182" s="2">
        <v>0.01</v>
      </c>
      <c r="Q182" s="2">
        <v>0.01</v>
      </c>
      <c r="R182" s="2">
        <v>0.01</v>
      </c>
      <c r="S182">
        <f t="shared" si="2"/>
        <v>6.0000000000000005E-2</v>
      </c>
    </row>
    <row r="183" spans="1:19" x14ac:dyDescent="0.2">
      <c r="A183">
        <v>13</v>
      </c>
      <c r="B183" t="s">
        <v>20</v>
      </c>
      <c r="C183">
        <v>2</v>
      </c>
      <c r="D183" t="s">
        <v>18</v>
      </c>
      <c r="E183" t="s">
        <v>16</v>
      </c>
      <c r="F183" t="s">
        <v>17</v>
      </c>
      <c r="G183" t="s">
        <v>17</v>
      </c>
      <c r="H183" t="s">
        <v>17</v>
      </c>
      <c r="I183">
        <v>10</v>
      </c>
      <c r="J183" s="4">
        <v>4.4000000000000004</v>
      </c>
      <c r="K183">
        <v>7.8</v>
      </c>
      <c r="L183">
        <v>0.31232393200000003</v>
      </c>
      <c r="M183" s="4" t="s">
        <v>17</v>
      </c>
      <c r="N183" s="4">
        <v>1.4</v>
      </c>
      <c r="O183" s="2">
        <v>7.0000000000000007E-2</v>
      </c>
      <c r="P183" s="2">
        <v>0.03</v>
      </c>
      <c r="Q183" s="2">
        <v>0</v>
      </c>
      <c r="R183" s="2">
        <v>0.03</v>
      </c>
      <c r="S183">
        <f t="shared" si="2"/>
        <v>0.13</v>
      </c>
    </row>
    <row r="184" spans="1:19" x14ac:dyDescent="0.2">
      <c r="A184">
        <v>13</v>
      </c>
      <c r="B184" t="s">
        <v>21</v>
      </c>
      <c r="C184">
        <v>3</v>
      </c>
      <c r="D184" t="s">
        <v>18</v>
      </c>
      <c r="E184" t="s">
        <v>22</v>
      </c>
      <c r="F184" t="s">
        <v>17</v>
      </c>
      <c r="G184" t="s">
        <v>17</v>
      </c>
      <c r="H184" t="s">
        <v>17</v>
      </c>
      <c r="I184">
        <v>10</v>
      </c>
      <c r="J184" s="4">
        <v>5.3</v>
      </c>
      <c r="K184">
        <v>7.6</v>
      </c>
      <c r="L184">
        <v>0.314540914</v>
      </c>
      <c r="M184" s="4" t="s">
        <v>17</v>
      </c>
      <c r="N184" s="4">
        <v>1.6</v>
      </c>
      <c r="O184" s="2">
        <v>0.11</v>
      </c>
      <c r="P184" s="2">
        <v>0.06</v>
      </c>
      <c r="Q184" s="2">
        <v>0</v>
      </c>
      <c r="R184" s="2">
        <v>0.03</v>
      </c>
      <c r="S184">
        <f t="shared" si="2"/>
        <v>0.19999999999999998</v>
      </c>
    </row>
    <row r="185" spans="1:19" x14ac:dyDescent="0.2">
      <c r="A185">
        <v>13</v>
      </c>
      <c r="B185" t="s">
        <v>23</v>
      </c>
      <c r="C185">
        <v>4</v>
      </c>
      <c r="D185" t="s">
        <v>18</v>
      </c>
      <c r="E185" t="s">
        <v>22</v>
      </c>
      <c r="F185" t="s">
        <v>17</v>
      </c>
      <c r="G185" t="s">
        <v>17</v>
      </c>
      <c r="H185" t="s">
        <v>17</v>
      </c>
      <c r="I185">
        <v>10</v>
      </c>
      <c r="J185" s="4">
        <v>8.6</v>
      </c>
      <c r="K185">
        <v>7.1</v>
      </c>
      <c r="L185">
        <v>0.31840664299999999</v>
      </c>
      <c r="M185" s="4">
        <v>14.8</v>
      </c>
      <c r="N185" s="4">
        <v>1.6</v>
      </c>
      <c r="O185" s="2">
        <v>0.15</v>
      </c>
      <c r="P185" s="2">
        <v>0.18</v>
      </c>
      <c r="Q185" s="2">
        <v>0</v>
      </c>
      <c r="R185" s="2">
        <v>0.02</v>
      </c>
      <c r="S185">
        <f t="shared" si="2"/>
        <v>0.35</v>
      </c>
    </row>
    <row r="186" spans="1:19" x14ac:dyDescent="0.2">
      <c r="A186">
        <v>13</v>
      </c>
      <c r="B186" t="s">
        <v>24</v>
      </c>
      <c r="C186">
        <v>5</v>
      </c>
      <c r="D186" t="s">
        <v>18</v>
      </c>
      <c r="E186" t="s">
        <v>25</v>
      </c>
      <c r="F186">
        <v>1.7984701780000001</v>
      </c>
      <c r="G186" s="1">
        <v>-1.18E-7</v>
      </c>
      <c r="H186" s="1">
        <v>-1.64E-4</v>
      </c>
      <c r="I186">
        <v>16</v>
      </c>
      <c r="J186" s="4">
        <v>8.4</v>
      </c>
      <c r="K186">
        <v>7.3</v>
      </c>
      <c r="L186">
        <v>0.31990228100000001</v>
      </c>
      <c r="M186" s="4">
        <v>19.7</v>
      </c>
      <c r="N186" s="4">
        <v>1.4</v>
      </c>
      <c r="O186" s="2">
        <v>0.18</v>
      </c>
      <c r="P186" s="2">
        <v>0.2</v>
      </c>
      <c r="Q186" s="2">
        <v>0.01</v>
      </c>
      <c r="R186" s="2">
        <v>0.02</v>
      </c>
      <c r="S186">
        <f t="shared" si="2"/>
        <v>0.41000000000000003</v>
      </c>
    </row>
    <row r="187" spans="1:19" x14ac:dyDescent="0.2">
      <c r="A187">
        <v>13</v>
      </c>
      <c r="B187" t="s">
        <v>26</v>
      </c>
      <c r="C187">
        <v>6</v>
      </c>
      <c r="D187" t="s">
        <v>18</v>
      </c>
      <c r="E187" t="s">
        <v>27</v>
      </c>
      <c r="F187">
        <v>2.1953106450000002</v>
      </c>
      <c r="G187" s="1">
        <v>-1.6000000000000001E-8</v>
      </c>
      <c r="H187" s="1">
        <v>-2.2200000000000001E-5</v>
      </c>
      <c r="I187">
        <v>16</v>
      </c>
      <c r="J187" s="4">
        <v>9.1</v>
      </c>
      <c r="K187">
        <v>7</v>
      </c>
      <c r="L187">
        <v>0.331003361</v>
      </c>
      <c r="M187">
        <v>24.9</v>
      </c>
      <c r="N187" s="4">
        <v>1.6</v>
      </c>
      <c r="O187" s="2">
        <v>0.27</v>
      </c>
      <c r="P187" s="2">
        <v>0.22</v>
      </c>
      <c r="Q187" s="2">
        <v>0.02</v>
      </c>
      <c r="R187" s="2">
        <v>0.01</v>
      </c>
      <c r="S187">
        <f t="shared" si="2"/>
        <v>0.52</v>
      </c>
    </row>
    <row r="188" spans="1:19" x14ac:dyDescent="0.2">
      <c r="A188">
        <v>13</v>
      </c>
      <c r="B188" t="s">
        <v>28</v>
      </c>
      <c r="C188">
        <v>7</v>
      </c>
      <c r="D188" t="s">
        <v>18</v>
      </c>
      <c r="E188" t="s">
        <v>29</v>
      </c>
      <c r="F188" t="s">
        <v>17</v>
      </c>
      <c r="G188" t="s">
        <v>17</v>
      </c>
      <c r="H188" t="s">
        <v>17</v>
      </c>
      <c r="I188">
        <v>6.625</v>
      </c>
      <c r="J188" s="4">
        <v>9.5</v>
      </c>
      <c r="K188">
        <v>6.9</v>
      </c>
      <c r="L188">
        <v>0.33862386300000002</v>
      </c>
      <c r="M188">
        <v>28.9</v>
      </c>
      <c r="N188" s="4">
        <v>0.8</v>
      </c>
      <c r="O188" s="2">
        <v>0.48</v>
      </c>
      <c r="P188" s="2">
        <v>0.22</v>
      </c>
      <c r="Q188" s="2">
        <v>0.02</v>
      </c>
      <c r="R188" s="2">
        <v>0.01</v>
      </c>
      <c r="S188">
        <f t="shared" si="2"/>
        <v>0.73</v>
      </c>
    </row>
    <row r="189" spans="1:19" x14ac:dyDescent="0.2">
      <c r="A189">
        <v>13</v>
      </c>
      <c r="B189" t="s">
        <v>30</v>
      </c>
      <c r="C189">
        <v>8</v>
      </c>
      <c r="D189" t="s">
        <v>18</v>
      </c>
      <c r="E189" t="s">
        <v>29</v>
      </c>
      <c r="F189" t="s">
        <v>17</v>
      </c>
      <c r="G189" t="s">
        <v>17</v>
      </c>
      <c r="H189" t="s">
        <v>17</v>
      </c>
      <c r="I189">
        <v>6.625</v>
      </c>
      <c r="J189" s="4">
        <v>8.4</v>
      </c>
      <c r="K189">
        <v>7.05</v>
      </c>
      <c r="L189">
        <v>0.34127788399999998</v>
      </c>
      <c r="M189">
        <v>29.2</v>
      </c>
      <c r="N189" s="4">
        <v>1.4</v>
      </c>
      <c r="O189" s="2">
        <v>0.52</v>
      </c>
      <c r="P189" s="2">
        <v>0.22</v>
      </c>
      <c r="Q189" s="2">
        <v>0.02</v>
      </c>
      <c r="R189" s="2">
        <v>0.01</v>
      </c>
      <c r="S189">
        <f t="shared" si="2"/>
        <v>0.77</v>
      </c>
    </row>
    <row r="190" spans="1:19" x14ac:dyDescent="0.2">
      <c r="A190">
        <v>13</v>
      </c>
      <c r="B190" t="s">
        <v>31</v>
      </c>
      <c r="C190">
        <v>9</v>
      </c>
      <c r="D190" t="s">
        <v>18</v>
      </c>
      <c r="E190" t="s">
        <v>29</v>
      </c>
      <c r="F190">
        <v>1.8938506369999999</v>
      </c>
      <c r="G190" s="1">
        <v>-4.3299999999999997E-8</v>
      </c>
      <c r="H190" s="1">
        <v>-6.0000000000000002E-5</v>
      </c>
      <c r="I190">
        <v>4.75</v>
      </c>
      <c r="J190" s="4">
        <v>7.6</v>
      </c>
      <c r="K190">
        <v>7.3</v>
      </c>
      <c r="L190">
        <v>0.341087796</v>
      </c>
      <c r="M190">
        <v>32.6</v>
      </c>
      <c r="N190" s="4">
        <v>0.8</v>
      </c>
      <c r="O190" s="2">
        <v>0.55000000000000004</v>
      </c>
      <c r="P190" s="2">
        <v>0.2</v>
      </c>
      <c r="Q190" s="2">
        <v>0.01</v>
      </c>
      <c r="R190" s="2">
        <v>0.01</v>
      </c>
      <c r="S190">
        <f t="shared" si="2"/>
        <v>0.77</v>
      </c>
    </row>
    <row r="191" spans="1:19" x14ac:dyDescent="0.2">
      <c r="A191">
        <v>13</v>
      </c>
      <c r="B191" t="s">
        <v>32</v>
      </c>
      <c r="C191">
        <v>10</v>
      </c>
      <c r="D191" t="s">
        <v>18</v>
      </c>
      <c r="E191" t="s">
        <v>33</v>
      </c>
      <c r="F191" t="s">
        <v>17</v>
      </c>
      <c r="G191" t="s">
        <v>17</v>
      </c>
      <c r="H191" t="s">
        <v>17</v>
      </c>
      <c r="I191">
        <v>2.5</v>
      </c>
      <c r="J191" s="4">
        <v>8.4</v>
      </c>
      <c r="K191">
        <v>6.8</v>
      </c>
      <c r="L191">
        <v>0.34003856900000001</v>
      </c>
      <c r="M191">
        <v>32.299999999999997</v>
      </c>
      <c r="N191" s="4">
        <v>1</v>
      </c>
      <c r="O191" s="2">
        <v>0.54</v>
      </c>
      <c r="P191" s="2">
        <v>0.25</v>
      </c>
      <c r="Q191" s="2">
        <v>0.01</v>
      </c>
      <c r="R191" s="2">
        <v>0.01</v>
      </c>
      <c r="S191">
        <f t="shared" si="2"/>
        <v>0.81</v>
      </c>
    </row>
    <row r="192" spans="1:19" x14ac:dyDescent="0.2">
      <c r="A192">
        <v>13</v>
      </c>
      <c r="B192" t="s">
        <v>35</v>
      </c>
      <c r="C192">
        <v>11</v>
      </c>
      <c r="D192" t="s">
        <v>18</v>
      </c>
      <c r="E192" t="s">
        <v>33</v>
      </c>
      <c r="F192">
        <v>1.162083188</v>
      </c>
      <c r="G192" s="1">
        <v>-1.44E-8</v>
      </c>
      <c r="H192" s="1">
        <v>-2.0000000000000002E-5</v>
      </c>
      <c r="I192">
        <v>0.5</v>
      </c>
      <c r="J192" s="4">
        <v>8.9499999999999993</v>
      </c>
      <c r="K192">
        <v>6.9</v>
      </c>
      <c r="L192">
        <v>0.33556286400000002</v>
      </c>
      <c r="M192">
        <v>32.5</v>
      </c>
      <c r="N192" s="4">
        <v>1</v>
      </c>
      <c r="O192" s="2">
        <v>0.52</v>
      </c>
      <c r="P192" s="2">
        <v>0.25</v>
      </c>
      <c r="Q192" s="2">
        <v>0.01</v>
      </c>
      <c r="R192" s="2">
        <v>0.01</v>
      </c>
      <c r="S192">
        <f t="shared" si="2"/>
        <v>0.79</v>
      </c>
    </row>
    <row r="193" spans="1:19" x14ac:dyDescent="0.2">
      <c r="A193">
        <v>13</v>
      </c>
      <c r="B193" t="s">
        <v>36</v>
      </c>
      <c r="C193">
        <v>12</v>
      </c>
      <c r="D193" t="s">
        <v>18</v>
      </c>
      <c r="E193" t="s">
        <v>37</v>
      </c>
      <c r="F193" t="s">
        <v>17</v>
      </c>
      <c r="G193" t="s">
        <v>17</v>
      </c>
      <c r="H193" t="s">
        <v>17</v>
      </c>
      <c r="I193">
        <v>-1.5</v>
      </c>
      <c r="J193" s="4">
        <v>8.65</v>
      </c>
      <c r="K193">
        <v>7.15</v>
      </c>
      <c r="L193">
        <v>0.32840378199999998</v>
      </c>
      <c r="M193">
        <v>32.9</v>
      </c>
      <c r="N193" s="4">
        <v>14.4</v>
      </c>
      <c r="O193" s="2">
        <v>0.5</v>
      </c>
      <c r="P193" s="2">
        <v>0.23</v>
      </c>
      <c r="Q193" s="2">
        <v>0.01</v>
      </c>
      <c r="R193" s="2">
        <v>0.01</v>
      </c>
      <c r="S193">
        <f t="shared" si="2"/>
        <v>0.75</v>
      </c>
    </row>
    <row r="194" spans="1:19" x14ac:dyDescent="0.2">
      <c r="A194">
        <v>13</v>
      </c>
      <c r="B194" t="s">
        <v>38</v>
      </c>
      <c r="C194">
        <v>13</v>
      </c>
      <c r="D194" t="s">
        <v>18</v>
      </c>
      <c r="E194" t="s">
        <v>37</v>
      </c>
      <c r="F194" t="s">
        <v>17</v>
      </c>
      <c r="G194" t="s">
        <v>17</v>
      </c>
      <c r="H194" t="s">
        <v>17</v>
      </c>
      <c r="I194" t="s">
        <v>17</v>
      </c>
      <c r="J194" s="4" t="s">
        <v>17</v>
      </c>
      <c r="K194" t="s">
        <v>17</v>
      </c>
      <c r="L194" t="s">
        <v>17</v>
      </c>
      <c r="M194" t="s">
        <v>17</v>
      </c>
      <c r="N194" s="4" t="s">
        <v>17</v>
      </c>
      <c r="O194" s="2" t="s">
        <v>17</v>
      </c>
      <c r="P194" t="s">
        <v>17</v>
      </c>
      <c r="Q194" t="s">
        <v>17</v>
      </c>
      <c r="R194" t="s">
        <v>17</v>
      </c>
      <c r="S194" t="s">
        <v>17</v>
      </c>
    </row>
    <row r="195" spans="1:19" x14ac:dyDescent="0.2">
      <c r="A195">
        <v>13</v>
      </c>
      <c r="B195" t="s">
        <v>39</v>
      </c>
      <c r="C195">
        <v>14</v>
      </c>
      <c r="D195" t="s">
        <v>18</v>
      </c>
      <c r="E195" t="s">
        <v>37</v>
      </c>
      <c r="F195" t="s">
        <v>17</v>
      </c>
      <c r="G195" t="s">
        <v>17</v>
      </c>
      <c r="H195" t="s">
        <v>17</v>
      </c>
      <c r="I195" t="s">
        <v>17</v>
      </c>
      <c r="J195" s="4" t="s">
        <v>17</v>
      </c>
      <c r="K195" t="s">
        <v>17</v>
      </c>
      <c r="L195" t="s">
        <v>17</v>
      </c>
      <c r="M195" t="s">
        <v>17</v>
      </c>
      <c r="N195" s="4" t="s">
        <v>17</v>
      </c>
      <c r="O195" s="2" t="s">
        <v>17</v>
      </c>
      <c r="P195" t="s">
        <v>17</v>
      </c>
      <c r="Q195" t="s">
        <v>17</v>
      </c>
      <c r="R195" t="s">
        <v>17</v>
      </c>
      <c r="S195" t="s">
        <v>17</v>
      </c>
    </row>
    <row r="196" spans="1:19" x14ac:dyDescent="0.2">
      <c r="A196">
        <v>13</v>
      </c>
      <c r="B196" t="s">
        <v>40</v>
      </c>
      <c r="C196">
        <v>15</v>
      </c>
      <c r="D196" t="s">
        <v>18</v>
      </c>
      <c r="E196" t="s">
        <v>37</v>
      </c>
      <c r="F196" t="s">
        <v>17</v>
      </c>
      <c r="G196" t="s">
        <v>17</v>
      </c>
      <c r="H196" t="s">
        <v>17</v>
      </c>
      <c r="I196" t="s">
        <v>17</v>
      </c>
      <c r="J196" s="4" t="s">
        <v>17</v>
      </c>
      <c r="K196" t="s">
        <v>17</v>
      </c>
      <c r="L196" t="s">
        <v>17</v>
      </c>
      <c r="M196" s="4" t="s">
        <v>17</v>
      </c>
      <c r="N196" s="4" t="s">
        <v>17</v>
      </c>
      <c r="O196" s="2" t="s">
        <v>17</v>
      </c>
      <c r="P196" t="s">
        <v>17</v>
      </c>
      <c r="Q196" t="s">
        <v>17</v>
      </c>
      <c r="R196" t="s">
        <v>17</v>
      </c>
      <c r="S196" t="s">
        <v>17</v>
      </c>
    </row>
    <row r="197" spans="1:19" x14ac:dyDescent="0.2">
      <c r="A197">
        <v>14</v>
      </c>
      <c r="B197" t="s">
        <v>14</v>
      </c>
      <c r="C197">
        <v>1</v>
      </c>
      <c r="D197" t="s">
        <v>19</v>
      </c>
      <c r="E197" t="s">
        <v>16</v>
      </c>
      <c r="F197" t="s">
        <v>17</v>
      </c>
      <c r="G197" t="s">
        <v>17</v>
      </c>
      <c r="H197" t="s">
        <v>17</v>
      </c>
      <c r="I197">
        <v>10</v>
      </c>
      <c r="J197" s="4">
        <v>6.05</v>
      </c>
      <c r="K197">
        <v>7.45</v>
      </c>
      <c r="L197">
        <v>0.30587313500000002</v>
      </c>
      <c r="M197" s="4" t="s">
        <v>17</v>
      </c>
      <c r="N197" s="4">
        <v>1.6</v>
      </c>
      <c r="O197" s="2">
        <v>0.05</v>
      </c>
      <c r="P197" s="2">
        <v>0</v>
      </c>
      <c r="Q197" s="2">
        <v>0</v>
      </c>
      <c r="R197" s="2">
        <v>0.03</v>
      </c>
      <c r="S197">
        <f t="shared" ref="S195:S258" si="3">SUM(O197:R197)</f>
        <v>0.08</v>
      </c>
    </row>
    <row r="198" spans="1:19" x14ac:dyDescent="0.2">
      <c r="A198">
        <v>14</v>
      </c>
      <c r="B198" t="s">
        <v>20</v>
      </c>
      <c r="C198">
        <v>2</v>
      </c>
      <c r="D198" t="s">
        <v>19</v>
      </c>
      <c r="E198" t="s">
        <v>16</v>
      </c>
      <c r="F198" t="s">
        <v>17</v>
      </c>
      <c r="G198" t="s">
        <v>17</v>
      </c>
      <c r="H198" t="s">
        <v>17</v>
      </c>
      <c r="I198">
        <v>10</v>
      </c>
      <c r="J198" s="4">
        <v>7.5</v>
      </c>
      <c r="K198">
        <v>7.2</v>
      </c>
      <c r="L198">
        <v>0.31243748599999999</v>
      </c>
      <c r="M198" s="4" t="s">
        <v>17</v>
      </c>
      <c r="N198" s="4">
        <v>1.4</v>
      </c>
      <c r="O198" s="2">
        <v>0.18</v>
      </c>
      <c r="P198" s="2">
        <v>0</v>
      </c>
      <c r="Q198" s="2">
        <v>0</v>
      </c>
      <c r="R198" s="2">
        <v>0.03</v>
      </c>
      <c r="S198">
        <f t="shared" si="3"/>
        <v>0.21</v>
      </c>
    </row>
    <row r="199" spans="1:19" x14ac:dyDescent="0.2">
      <c r="A199">
        <v>14</v>
      </c>
      <c r="B199" t="s">
        <v>21</v>
      </c>
      <c r="C199">
        <v>3</v>
      </c>
      <c r="D199" t="s">
        <v>19</v>
      </c>
      <c r="E199" t="s">
        <v>22</v>
      </c>
      <c r="F199" t="s">
        <v>17</v>
      </c>
      <c r="G199" t="s">
        <v>17</v>
      </c>
      <c r="H199" t="s">
        <v>17</v>
      </c>
      <c r="I199">
        <v>10</v>
      </c>
      <c r="J199" s="4">
        <v>6.05</v>
      </c>
      <c r="K199">
        <v>7.35</v>
      </c>
      <c r="L199">
        <v>0.31693671800000001</v>
      </c>
      <c r="M199" s="4" t="s">
        <v>17</v>
      </c>
      <c r="N199" s="4">
        <v>1.6</v>
      </c>
      <c r="O199" s="2">
        <v>0.22</v>
      </c>
      <c r="P199" s="2">
        <v>0.05</v>
      </c>
      <c r="Q199" s="2">
        <v>0</v>
      </c>
      <c r="R199" s="2">
        <v>0.03</v>
      </c>
      <c r="S199">
        <f t="shared" si="3"/>
        <v>0.30000000000000004</v>
      </c>
    </row>
    <row r="200" spans="1:19" x14ac:dyDescent="0.2">
      <c r="A200">
        <v>14</v>
      </c>
      <c r="B200" t="s">
        <v>23</v>
      </c>
      <c r="C200">
        <v>4</v>
      </c>
      <c r="D200" t="s">
        <v>19</v>
      </c>
      <c r="E200" t="s">
        <v>22</v>
      </c>
      <c r="F200" t="s">
        <v>17</v>
      </c>
      <c r="G200" t="s">
        <v>17</v>
      </c>
      <c r="H200" t="s">
        <v>17</v>
      </c>
      <c r="I200">
        <v>10</v>
      </c>
      <c r="J200" s="4">
        <v>9.4</v>
      </c>
      <c r="K200">
        <v>7</v>
      </c>
      <c r="L200">
        <v>0.32575468499999999</v>
      </c>
      <c r="M200" s="4">
        <v>20.6</v>
      </c>
      <c r="N200" s="4">
        <v>1.4</v>
      </c>
      <c r="O200" s="2">
        <v>0.27</v>
      </c>
      <c r="P200" s="2">
        <v>0.12</v>
      </c>
      <c r="Q200" s="2">
        <v>0</v>
      </c>
      <c r="R200" s="2">
        <v>0.03</v>
      </c>
      <c r="S200">
        <f t="shared" si="3"/>
        <v>0.42000000000000004</v>
      </c>
    </row>
    <row r="201" spans="1:19" x14ac:dyDescent="0.2">
      <c r="A201">
        <v>14</v>
      </c>
      <c r="B201" t="s">
        <v>24</v>
      </c>
      <c r="C201">
        <v>5</v>
      </c>
      <c r="D201" t="s">
        <v>19</v>
      </c>
      <c r="E201" t="s">
        <v>25</v>
      </c>
      <c r="F201" t="s">
        <v>17</v>
      </c>
      <c r="G201" t="s">
        <v>17</v>
      </c>
      <c r="H201" t="s">
        <v>17</v>
      </c>
      <c r="I201">
        <v>10</v>
      </c>
      <c r="J201" s="4">
        <v>7.75</v>
      </c>
      <c r="K201">
        <v>7.15</v>
      </c>
      <c r="L201">
        <v>0.329836095</v>
      </c>
      <c r="M201">
        <v>22.6</v>
      </c>
      <c r="N201" s="4">
        <v>1.6</v>
      </c>
      <c r="O201" s="2">
        <v>0.3</v>
      </c>
      <c r="P201" s="2">
        <v>0.15</v>
      </c>
      <c r="Q201" s="2">
        <v>0.04</v>
      </c>
      <c r="R201" s="2">
        <v>0.03</v>
      </c>
      <c r="S201">
        <f t="shared" si="3"/>
        <v>0.51999999999999991</v>
      </c>
    </row>
    <row r="202" spans="1:19" x14ac:dyDescent="0.2">
      <c r="A202">
        <v>14</v>
      </c>
      <c r="B202" t="s">
        <v>26</v>
      </c>
      <c r="C202">
        <v>6</v>
      </c>
      <c r="D202" t="s">
        <v>19</v>
      </c>
      <c r="E202" t="s">
        <v>27</v>
      </c>
      <c r="F202">
        <v>2.4909369300000002</v>
      </c>
      <c r="G202" s="1">
        <v>1.9700000000000001E-8</v>
      </c>
      <c r="H202" s="1">
        <v>2.73E-5</v>
      </c>
      <c r="I202">
        <v>10</v>
      </c>
      <c r="J202" s="4">
        <v>8.85</v>
      </c>
      <c r="K202">
        <v>6.95</v>
      </c>
      <c r="L202">
        <v>0.33294949299999999</v>
      </c>
      <c r="M202">
        <v>40.1</v>
      </c>
      <c r="N202" s="4">
        <v>1.6</v>
      </c>
      <c r="O202" s="2">
        <v>0.32</v>
      </c>
      <c r="P202" s="2">
        <v>0.18</v>
      </c>
      <c r="Q202" s="2">
        <v>0.05</v>
      </c>
      <c r="R202" s="2">
        <v>0.02</v>
      </c>
      <c r="S202">
        <f t="shared" si="3"/>
        <v>0.57000000000000006</v>
      </c>
    </row>
    <row r="203" spans="1:19" x14ac:dyDescent="0.2">
      <c r="A203">
        <v>14</v>
      </c>
      <c r="B203" t="s">
        <v>28</v>
      </c>
      <c r="C203">
        <v>7</v>
      </c>
      <c r="D203" t="s">
        <v>19</v>
      </c>
      <c r="E203" t="s">
        <v>29</v>
      </c>
      <c r="F203" t="s">
        <v>17</v>
      </c>
      <c r="G203" t="s">
        <v>17</v>
      </c>
      <c r="H203" t="s">
        <v>17</v>
      </c>
      <c r="I203">
        <v>6.625</v>
      </c>
      <c r="J203" s="4">
        <v>8.6999999999999993</v>
      </c>
      <c r="K203">
        <v>7.05</v>
      </c>
      <c r="L203">
        <v>0.33749023900000003</v>
      </c>
      <c r="M203">
        <v>40.200000000000003</v>
      </c>
      <c r="N203" s="4">
        <v>1</v>
      </c>
      <c r="O203" s="2">
        <v>0.35</v>
      </c>
      <c r="P203" s="2">
        <v>0.2</v>
      </c>
      <c r="Q203" s="2">
        <v>0.05</v>
      </c>
      <c r="R203" s="2">
        <v>0.02</v>
      </c>
      <c r="S203">
        <f t="shared" si="3"/>
        <v>0.62000000000000011</v>
      </c>
    </row>
    <row r="204" spans="1:19" x14ac:dyDescent="0.2">
      <c r="A204">
        <v>14</v>
      </c>
      <c r="B204" t="s">
        <v>30</v>
      </c>
      <c r="C204">
        <v>8</v>
      </c>
      <c r="D204" t="s">
        <v>19</v>
      </c>
      <c r="E204" t="s">
        <v>29</v>
      </c>
      <c r="F204" t="s">
        <v>17</v>
      </c>
      <c r="G204" t="s">
        <v>17</v>
      </c>
      <c r="H204" t="s">
        <v>17</v>
      </c>
      <c r="I204">
        <v>6.625</v>
      </c>
      <c r="J204" s="4">
        <v>9.3000000000000007</v>
      </c>
      <c r="K204">
        <v>7</v>
      </c>
      <c r="L204">
        <v>0.34463653300000002</v>
      </c>
      <c r="M204">
        <v>40.4</v>
      </c>
      <c r="N204" s="4">
        <v>1.8</v>
      </c>
      <c r="O204" s="2">
        <v>0.4</v>
      </c>
      <c r="P204" s="2">
        <v>0.19</v>
      </c>
      <c r="Q204" s="2">
        <v>0.04</v>
      </c>
      <c r="R204" s="2">
        <v>0.01</v>
      </c>
      <c r="S204">
        <f t="shared" si="3"/>
        <v>0.64000000000000012</v>
      </c>
    </row>
    <row r="205" spans="1:19" x14ac:dyDescent="0.2">
      <c r="A205">
        <v>14</v>
      </c>
      <c r="B205" t="s">
        <v>31</v>
      </c>
      <c r="C205">
        <v>9</v>
      </c>
      <c r="D205" t="s">
        <v>19</v>
      </c>
      <c r="E205" t="s">
        <v>29</v>
      </c>
      <c r="F205">
        <v>2.040642976</v>
      </c>
      <c r="G205" s="1">
        <v>-5.1100000000000001E-8</v>
      </c>
      <c r="H205" s="1">
        <v>-7.08E-5</v>
      </c>
      <c r="I205">
        <v>4.75</v>
      </c>
      <c r="J205" s="4">
        <v>8.5</v>
      </c>
      <c r="K205">
        <v>7.05</v>
      </c>
      <c r="L205">
        <v>0.34415592</v>
      </c>
      <c r="M205">
        <v>41.3</v>
      </c>
      <c r="N205" s="4">
        <v>1.2</v>
      </c>
      <c r="O205" s="2">
        <v>0.38</v>
      </c>
      <c r="P205" s="2">
        <v>0.19</v>
      </c>
      <c r="Q205" s="2">
        <v>0.04</v>
      </c>
      <c r="R205" s="2">
        <v>0.01</v>
      </c>
      <c r="S205">
        <f t="shared" si="3"/>
        <v>0.62000000000000011</v>
      </c>
    </row>
    <row r="206" spans="1:19" x14ac:dyDescent="0.2">
      <c r="A206">
        <v>14</v>
      </c>
      <c r="B206" t="s">
        <v>34</v>
      </c>
      <c r="C206">
        <v>10</v>
      </c>
      <c r="D206" t="s">
        <v>19</v>
      </c>
      <c r="E206" t="s">
        <v>33</v>
      </c>
      <c r="F206" t="s">
        <v>17</v>
      </c>
      <c r="G206" t="s">
        <v>17</v>
      </c>
      <c r="H206" t="s">
        <v>17</v>
      </c>
      <c r="I206">
        <v>2.5</v>
      </c>
      <c r="J206" s="4">
        <v>8.15</v>
      </c>
      <c r="K206">
        <v>6.95</v>
      </c>
      <c r="L206">
        <v>0.34245487099999999</v>
      </c>
      <c r="M206">
        <v>41.4</v>
      </c>
      <c r="N206" s="4">
        <v>1.2</v>
      </c>
      <c r="O206" s="2">
        <v>0.38</v>
      </c>
      <c r="P206" s="2">
        <v>0.1</v>
      </c>
      <c r="Q206" s="2">
        <v>0.04</v>
      </c>
      <c r="R206" s="2">
        <v>0.01</v>
      </c>
      <c r="S206">
        <f t="shared" si="3"/>
        <v>0.53</v>
      </c>
    </row>
    <row r="207" spans="1:19" x14ac:dyDescent="0.2">
      <c r="A207">
        <v>14</v>
      </c>
      <c r="B207" t="s">
        <v>35</v>
      </c>
      <c r="C207">
        <v>11</v>
      </c>
      <c r="D207" t="s">
        <v>19</v>
      </c>
      <c r="E207" t="s">
        <v>33</v>
      </c>
      <c r="F207">
        <v>2.1125020559999999</v>
      </c>
      <c r="G207" s="1">
        <v>-1.1900000000000001E-8</v>
      </c>
      <c r="H207" s="1">
        <v>-1.6500000000000001E-5</v>
      </c>
      <c r="I207">
        <v>0.5</v>
      </c>
      <c r="J207" s="4">
        <v>9.5</v>
      </c>
      <c r="K207">
        <v>6.9</v>
      </c>
      <c r="L207">
        <v>0.341816432</v>
      </c>
      <c r="M207">
        <v>40.700000000000003</v>
      </c>
      <c r="N207" s="4">
        <v>1.2</v>
      </c>
      <c r="O207" s="2">
        <v>0.38</v>
      </c>
      <c r="P207" s="2">
        <v>0.08</v>
      </c>
      <c r="Q207" s="2">
        <v>0.01</v>
      </c>
      <c r="R207" s="2">
        <v>0.03</v>
      </c>
      <c r="S207">
        <f t="shared" si="3"/>
        <v>0.5</v>
      </c>
    </row>
    <row r="208" spans="1:19" x14ac:dyDescent="0.2">
      <c r="A208">
        <v>14</v>
      </c>
      <c r="B208" t="s">
        <v>36</v>
      </c>
      <c r="C208">
        <v>12</v>
      </c>
      <c r="D208" t="s">
        <v>19</v>
      </c>
      <c r="E208" t="s">
        <v>37</v>
      </c>
      <c r="F208" t="s">
        <v>17</v>
      </c>
      <c r="G208" t="s">
        <v>17</v>
      </c>
      <c r="H208" t="s">
        <v>17</v>
      </c>
      <c r="I208">
        <v>-1.5</v>
      </c>
      <c r="J208" s="4">
        <v>6.55</v>
      </c>
      <c r="K208">
        <v>7.5</v>
      </c>
      <c r="L208">
        <v>0.33703717799999999</v>
      </c>
      <c r="M208">
        <v>39.299999999999997</v>
      </c>
      <c r="N208" s="4">
        <v>14</v>
      </c>
      <c r="O208" s="2">
        <v>0.38</v>
      </c>
      <c r="P208" s="2">
        <v>0.08</v>
      </c>
      <c r="Q208" s="2">
        <v>0.01</v>
      </c>
      <c r="R208" s="2">
        <v>0.01</v>
      </c>
      <c r="S208">
        <f t="shared" si="3"/>
        <v>0.48000000000000004</v>
      </c>
    </row>
    <row r="209" spans="1:19" x14ac:dyDescent="0.2">
      <c r="A209">
        <v>14</v>
      </c>
      <c r="B209" t="s">
        <v>38</v>
      </c>
      <c r="C209">
        <v>13</v>
      </c>
      <c r="D209" t="s">
        <v>19</v>
      </c>
      <c r="E209" t="s">
        <v>37</v>
      </c>
      <c r="F209" t="s">
        <v>17</v>
      </c>
      <c r="G209" t="s">
        <v>17</v>
      </c>
      <c r="H209" t="s">
        <v>17</v>
      </c>
      <c r="I209" t="s">
        <v>17</v>
      </c>
      <c r="J209" s="4" t="s">
        <v>17</v>
      </c>
      <c r="K209" t="s">
        <v>17</v>
      </c>
      <c r="L209" t="s">
        <v>17</v>
      </c>
      <c r="M209" t="s">
        <v>17</v>
      </c>
      <c r="N209" s="4" t="s">
        <v>17</v>
      </c>
      <c r="O209" s="2" t="s">
        <v>17</v>
      </c>
      <c r="P209" t="s">
        <v>17</v>
      </c>
      <c r="Q209" t="s">
        <v>17</v>
      </c>
      <c r="R209" t="s">
        <v>17</v>
      </c>
      <c r="S209" t="s">
        <v>17</v>
      </c>
    </row>
    <row r="210" spans="1:19" x14ac:dyDescent="0.2">
      <c r="A210">
        <v>14</v>
      </c>
      <c r="B210" t="s">
        <v>39</v>
      </c>
      <c r="C210">
        <v>14</v>
      </c>
      <c r="D210" t="s">
        <v>19</v>
      </c>
      <c r="E210" t="s">
        <v>37</v>
      </c>
      <c r="F210" t="s">
        <v>17</v>
      </c>
      <c r="G210" t="s">
        <v>17</v>
      </c>
      <c r="H210" t="s">
        <v>17</v>
      </c>
      <c r="I210" t="s">
        <v>17</v>
      </c>
      <c r="J210" s="4" t="s">
        <v>17</v>
      </c>
      <c r="K210" t="s">
        <v>17</v>
      </c>
      <c r="L210" t="s">
        <v>17</v>
      </c>
      <c r="M210" s="4" t="s">
        <v>17</v>
      </c>
      <c r="N210" s="4" t="s">
        <v>17</v>
      </c>
      <c r="O210" s="2" t="s">
        <v>17</v>
      </c>
      <c r="P210" t="s">
        <v>17</v>
      </c>
      <c r="Q210" t="s">
        <v>17</v>
      </c>
      <c r="R210" t="s">
        <v>17</v>
      </c>
      <c r="S210" t="s">
        <v>17</v>
      </c>
    </row>
    <row r="211" spans="1:19" x14ac:dyDescent="0.2">
      <c r="A211">
        <v>14</v>
      </c>
      <c r="B211" t="s">
        <v>40</v>
      </c>
      <c r="C211">
        <v>15</v>
      </c>
      <c r="D211" t="s">
        <v>19</v>
      </c>
      <c r="E211" t="s">
        <v>37</v>
      </c>
      <c r="F211" t="s">
        <v>17</v>
      </c>
      <c r="G211" t="s">
        <v>17</v>
      </c>
      <c r="H211" t="s">
        <v>17</v>
      </c>
      <c r="I211" t="s">
        <v>17</v>
      </c>
      <c r="J211" s="4" t="s">
        <v>17</v>
      </c>
      <c r="K211" t="s">
        <v>17</v>
      </c>
      <c r="L211" t="s">
        <v>17</v>
      </c>
      <c r="M211" s="4" t="s">
        <v>17</v>
      </c>
      <c r="N211" s="4" t="s">
        <v>17</v>
      </c>
      <c r="O211" s="2" t="s">
        <v>17</v>
      </c>
      <c r="P211" t="s">
        <v>17</v>
      </c>
      <c r="Q211" t="s">
        <v>17</v>
      </c>
      <c r="R211" t="s">
        <v>17</v>
      </c>
      <c r="S211" t="s">
        <v>17</v>
      </c>
    </row>
    <row r="212" spans="1:19" x14ac:dyDescent="0.2">
      <c r="A212">
        <v>15</v>
      </c>
      <c r="B212" t="s">
        <v>14</v>
      </c>
      <c r="C212">
        <v>1</v>
      </c>
      <c r="D212" t="s">
        <v>19</v>
      </c>
      <c r="E212" t="s">
        <v>16</v>
      </c>
      <c r="F212" t="s">
        <v>17</v>
      </c>
      <c r="G212" t="s">
        <v>17</v>
      </c>
      <c r="H212" t="s">
        <v>17</v>
      </c>
      <c r="I212">
        <v>10</v>
      </c>
      <c r="J212" s="4">
        <v>4.9000000000000004</v>
      </c>
      <c r="K212">
        <v>7.2</v>
      </c>
      <c r="L212">
        <v>0.30499224800000002</v>
      </c>
      <c r="M212" s="4" t="s">
        <v>17</v>
      </c>
      <c r="N212" s="4">
        <v>1.6</v>
      </c>
      <c r="O212" s="2">
        <v>0.08</v>
      </c>
      <c r="P212" s="2">
        <v>0.01</v>
      </c>
      <c r="Q212" s="2">
        <v>0</v>
      </c>
      <c r="R212" s="2">
        <v>0.02</v>
      </c>
      <c r="S212">
        <f t="shared" si="3"/>
        <v>0.11</v>
      </c>
    </row>
    <row r="213" spans="1:19" x14ac:dyDescent="0.2">
      <c r="A213">
        <v>15</v>
      </c>
      <c r="B213" t="s">
        <v>20</v>
      </c>
      <c r="C213">
        <v>2</v>
      </c>
      <c r="D213" t="s">
        <v>19</v>
      </c>
      <c r="E213" t="s">
        <v>16</v>
      </c>
      <c r="F213" t="s">
        <v>17</v>
      </c>
      <c r="G213" t="s">
        <v>17</v>
      </c>
      <c r="H213" t="s">
        <v>17</v>
      </c>
      <c r="I213">
        <v>10</v>
      </c>
      <c r="J213" s="4">
        <v>4.95</v>
      </c>
      <c r="K213">
        <v>7.55</v>
      </c>
      <c r="L213">
        <v>0.31185965799999998</v>
      </c>
      <c r="M213" s="4" t="s">
        <v>17</v>
      </c>
      <c r="N213" s="4">
        <v>1.2</v>
      </c>
      <c r="O213" s="2">
        <v>0.15</v>
      </c>
      <c r="P213" s="2">
        <v>0.05</v>
      </c>
      <c r="Q213" s="2">
        <v>0</v>
      </c>
      <c r="R213" s="2">
        <v>0.05</v>
      </c>
      <c r="S213">
        <f t="shared" si="3"/>
        <v>0.25</v>
      </c>
    </row>
    <row r="214" spans="1:19" x14ac:dyDescent="0.2">
      <c r="A214">
        <v>15</v>
      </c>
      <c r="B214" t="s">
        <v>21</v>
      </c>
      <c r="C214">
        <v>3</v>
      </c>
      <c r="D214" t="s">
        <v>19</v>
      </c>
      <c r="E214" t="s">
        <v>22</v>
      </c>
      <c r="F214" t="s">
        <v>17</v>
      </c>
      <c r="G214" t="s">
        <v>17</v>
      </c>
      <c r="H214" t="s">
        <v>17</v>
      </c>
      <c r="I214">
        <v>10</v>
      </c>
      <c r="J214" s="4">
        <v>4.9000000000000004</v>
      </c>
      <c r="K214">
        <v>7.75</v>
      </c>
      <c r="L214">
        <v>0.31820929799999997</v>
      </c>
      <c r="M214" s="4" t="s">
        <v>17</v>
      </c>
      <c r="N214" s="4">
        <v>1.6</v>
      </c>
      <c r="O214" s="2">
        <v>0.2</v>
      </c>
      <c r="P214" s="2">
        <v>0.1</v>
      </c>
      <c r="Q214" s="2">
        <v>0</v>
      </c>
      <c r="R214" s="2">
        <v>0.06</v>
      </c>
      <c r="S214">
        <f t="shared" si="3"/>
        <v>0.36000000000000004</v>
      </c>
    </row>
    <row r="215" spans="1:19" x14ac:dyDescent="0.2">
      <c r="A215">
        <v>15</v>
      </c>
      <c r="B215" t="s">
        <v>23</v>
      </c>
      <c r="C215">
        <v>4</v>
      </c>
      <c r="D215" t="s">
        <v>19</v>
      </c>
      <c r="E215" t="s">
        <v>22</v>
      </c>
      <c r="F215" t="s">
        <v>17</v>
      </c>
      <c r="G215" t="s">
        <v>17</v>
      </c>
      <c r="H215" t="s">
        <v>17</v>
      </c>
      <c r="I215">
        <v>10</v>
      </c>
      <c r="J215" s="4">
        <v>7</v>
      </c>
      <c r="K215">
        <v>6.9</v>
      </c>
      <c r="L215">
        <v>0.32682471699999999</v>
      </c>
      <c r="M215">
        <v>19.3</v>
      </c>
      <c r="N215" s="4">
        <v>1.6</v>
      </c>
      <c r="O215" s="2">
        <v>0.25</v>
      </c>
      <c r="P215" s="2">
        <v>0.15</v>
      </c>
      <c r="Q215" s="2">
        <v>0</v>
      </c>
      <c r="R215" s="2">
        <v>0.05</v>
      </c>
      <c r="S215">
        <f t="shared" si="3"/>
        <v>0.45</v>
      </c>
    </row>
    <row r="216" spans="1:19" x14ac:dyDescent="0.2">
      <c r="A216">
        <v>15</v>
      </c>
      <c r="B216" t="s">
        <v>24</v>
      </c>
      <c r="C216">
        <v>5</v>
      </c>
      <c r="D216" t="s">
        <v>19</v>
      </c>
      <c r="E216" t="s">
        <v>25</v>
      </c>
      <c r="F216">
        <v>1.450364585</v>
      </c>
      <c r="G216" s="1">
        <v>-8.7299999999999994E-8</v>
      </c>
      <c r="H216" s="1">
        <v>-1.21E-4</v>
      </c>
      <c r="I216">
        <v>10</v>
      </c>
      <c r="J216" s="4">
        <v>7.2</v>
      </c>
      <c r="K216">
        <v>7.05</v>
      </c>
      <c r="L216">
        <v>0.33177476900000002</v>
      </c>
      <c r="M216">
        <v>35.200000000000003</v>
      </c>
      <c r="N216" s="4">
        <v>1.6</v>
      </c>
      <c r="O216" s="2">
        <v>0.32</v>
      </c>
      <c r="P216" s="2">
        <v>0.22</v>
      </c>
      <c r="Q216" s="2">
        <v>0.01</v>
      </c>
      <c r="R216" s="2">
        <v>0.04</v>
      </c>
      <c r="S216">
        <f t="shared" si="3"/>
        <v>0.59000000000000008</v>
      </c>
    </row>
    <row r="217" spans="1:19" x14ac:dyDescent="0.2">
      <c r="A217">
        <v>15</v>
      </c>
      <c r="B217" t="s">
        <v>26</v>
      </c>
      <c r="C217">
        <v>6</v>
      </c>
      <c r="D217" t="s">
        <v>19</v>
      </c>
      <c r="E217" t="s">
        <v>27</v>
      </c>
      <c r="F217">
        <v>1.7624600749999999</v>
      </c>
      <c r="G217" s="1">
        <v>1.09E-8</v>
      </c>
      <c r="H217" s="1">
        <v>1.5099999999999999E-5</v>
      </c>
      <c r="I217">
        <v>10</v>
      </c>
      <c r="J217" s="4">
        <v>6.4</v>
      </c>
      <c r="K217">
        <v>7.15</v>
      </c>
      <c r="L217">
        <v>0.33604825900000002</v>
      </c>
      <c r="M217">
        <v>41.3</v>
      </c>
      <c r="N217" s="4">
        <v>1.8</v>
      </c>
      <c r="O217" s="2">
        <v>0.37</v>
      </c>
      <c r="P217" s="2">
        <v>0.25</v>
      </c>
      <c r="Q217" s="2">
        <v>0.04</v>
      </c>
      <c r="R217" s="2">
        <v>0.03</v>
      </c>
      <c r="S217">
        <f t="shared" si="3"/>
        <v>0.69000000000000006</v>
      </c>
    </row>
    <row r="218" spans="1:19" x14ac:dyDescent="0.2">
      <c r="A218">
        <v>15</v>
      </c>
      <c r="B218" t="s">
        <v>28</v>
      </c>
      <c r="C218">
        <v>7</v>
      </c>
      <c r="D218" t="s">
        <v>19</v>
      </c>
      <c r="E218" t="s">
        <v>29</v>
      </c>
      <c r="F218" t="s">
        <v>17</v>
      </c>
      <c r="G218" t="s">
        <v>17</v>
      </c>
      <c r="H218" t="s">
        <v>17</v>
      </c>
      <c r="I218">
        <v>6.625</v>
      </c>
      <c r="J218" s="4">
        <v>8.1999999999999993</v>
      </c>
      <c r="K218">
        <v>7.15</v>
      </c>
      <c r="L218">
        <v>0.34032011099999998</v>
      </c>
      <c r="M218">
        <v>46.6</v>
      </c>
      <c r="N218" s="4">
        <v>1</v>
      </c>
      <c r="O218" s="2">
        <v>0.4</v>
      </c>
      <c r="P218" s="2">
        <v>0.25</v>
      </c>
      <c r="Q218" s="2">
        <v>0.04</v>
      </c>
      <c r="R218" s="2">
        <v>0.03</v>
      </c>
      <c r="S218">
        <f t="shared" si="3"/>
        <v>0.72000000000000008</v>
      </c>
    </row>
    <row r="219" spans="1:19" x14ac:dyDescent="0.2">
      <c r="A219">
        <v>15</v>
      </c>
      <c r="B219" t="s">
        <v>30</v>
      </c>
      <c r="C219">
        <v>8</v>
      </c>
      <c r="D219" t="s">
        <v>19</v>
      </c>
      <c r="E219" t="s">
        <v>29</v>
      </c>
      <c r="F219" t="s">
        <v>17</v>
      </c>
      <c r="G219" t="s">
        <v>17</v>
      </c>
      <c r="H219" t="s">
        <v>17</v>
      </c>
      <c r="I219">
        <v>6.625</v>
      </c>
      <c r="J219" s="4">
        <v>7.45</v>
      </c>
      <c r="K219">
        <v>7.1</v>
      </c>
      <c r="L219">
        <v>0.34712092</v>
      </c>
      <c r="M219">
        <v>47</v>
      </c>
      <c r="N219" s="4">
        <v>1.8</v>
      </c>
      <c r="O219" s="2">
        <v>0.43</v>
      </c>
      <c r="P219" s="2">
        <v>0.2</v>
      </c>
      <c r="Q219" s="2">
        <v>0.03</v>
      </c>
      <c r="R219" s="2">
        <v>0.02</v>
      </c>
      <c r="S219">
        <f t="shared" si="3"/>
        <v>0.68</v>
      </c>
    </row>
    <row r="220" spans="1:19" x14ac:dyDescent="0.2">
      <c r="A220">
        <v>15</v>
      </c>
      <c r="B220" t="s">
        <v>31</v>
      </c>
      <c r="C220">
        <v>9</v>
      </c>
      <c r="D220" t="s">
        <v>19</v>
      </c>
      <c r="E220" t="s">
        <v>29</v>
      </c>
      <c r="F220">
        <v>1.168546879</v>
      </c>
      <c r="G220" s="1">
        <v>-6.1599999999999996E-8</v>
      </c>
      <c r="H220" s="1">
        <v>-8.53E-5</v>
      </c>
      <c r="I220">
        <v>4.75</v>
      </c>
      <c r="J220" s="4">
        <v>8.1999999999999993</v>
      </c>
      <c r="K220">
        <v>7.15</v>
      </c>
      <c r="L220">
        <v>0.34962353499999999</v>
      </c>
      <c r="M220">
        <v>47</v>
      </c>
      <c r="N220" s="4">
        <v>1</v>
      </c>
      <c r="O220" s="2">
        <v>0.43</v>
      </c>
      <c r="P220" s="2">
        <v>0.18</v>
      </c>
      <c r="Q220" s="2">
        <v>0.02</v>
      </c>
      <c r="R220" s="2">
        <v>0.03</v>
      </c>
      <c r="S220">
        <f t="shared" si="3"/>
        <v>0.66</v>
      </c>
    </row>
    <row r="221" spans="1:19" x14ac:dyDescent="0.2">
      <c r="A221">
        <v>15</v>
      </c>
      <c r="B221" t="s">
        <v>34</v>
      </c>
      <c r="C221">
        <v>10</v>
      </c>
      <c r="D221" t="s">
        <v>19</v>
      </c>
      <c r="E221" t="s">
        <v>33</v>
      </c>
      <c r="F221" t="s">
        <v>17</v>
      </c>
      <c r="G221" t="s">
        <v>17</v>
      </c>
      <c r="H221" t="s">
        <v>17</v>
      </c>
      <c r="I221">
        <v>2.5</v>
      </c>
      <c r="J221" s="4">
        <v>7.5</v>
      </c>
      <c r="K221">
        <v>6.9</v>
      </c>
      <c r="L221">
        <v>0.34649289599999999</v>
      </c>
      <c r="M221">
        <v>47.1</v>
      </c>
      <c r="N221" s="4">
        <v>1</v>
      </c>
      <c r="O221" s="2">
        <v>0.4</v>
      </c>
      <c r="P221" s="2">
        <v>0.16</v>
      </c>
      <c r="Q221" s="2">
        <v>0.02</v>
      </c>
      <c r="R221" s="2">
        <v>0.02</v>
      </c>
      <c r="S221">
        <f t="shared" si="3"/>
        <v>0.60000000000000009</v>
      </c>
    </row>
    <row r="222" spans="1:19" x14ac:dyDescent="0.2">
      <c r="A222">
        <v>15</v>
      </c>
      <c r="B222" t="s">
        <v>35</v>
      </c>
      <c r="C222">
        <v>11</v>
      </c>
      <c r="D222" t="s">
        <v>19</v>
      </c>
      <c r="E222" t="s">
        <v>33</v>
      </c>
      <c r="F222">
        <v>1.3137340420000001</v>
      </c>
      <c r="G222" s="1">
        <v>1E-8</v>
      </c>
      <c r="H222" s="1">
        <v>1.3900000000000001E-5</v>
      </c>
      <c r="I222">
        <v>0.5</v>
      </c>
      <c r="J222" s="4">
        <v>9.25</v>
      </c>
      <c r="K222">
        <v>6.8</v>
      </c>
      <c r="L222">
        <v>0.34306742200000001</v>
      </c>
      <c r="M222">
        <v>47</v>
      </c>
      <c r="N222" s="4">
        <v>1</v>
      </c>
      <c r="O222" s="2">
        <v>0.4</v>
      </c>
      <c r="P222" s="2">
        <v>0.14000000000000001</v>
      </c>
      <c r="Q222" s="2">
        <v>0.02</v>
      </c>
      <c r="R222" s="2">
        <v>0.02</v>
      </c>
      <c r="S222">
        <f t="shared" si="3"/>
        <v>0.58000000000000007</v>
      </c>
    </row>
    <row r="223" spans="1:19" x14ac:dyDescent="0.2">
      <c r="A223">
        <v>15</v>
      </c>
      <c r="B223" t="s">
        <v>36</v>
      </c>
      <c r="C223">
        <v>12</v>
      </c>
      <c r="D223" t="s">
        <v>19</v>
      </c>
      <c r="E223" t="s">
        <v>37</v>
      </c>
      <c r="F223" t="s">
        <v>17</v>
      </c>
      <c r="G223" t="s">
        <v>17</v>
      </c>
      <c r="H223" t="s">
        <v>17</v>
      </c>
      <c r="I223">
        <v>-1.5</v>
      </c>
      <c r="J223" s="4">
        <v>7.35</v>
      </c>
      <c r="K223">
        <v>7.3</v>
      </c>
      <c r="L223">
        <v>0.33286011599999998</v>
      </c>
      <c r="M223">
        <v>46.4</v>
      </c>
      <c r="N223" s="4">
        <v>13</v>
      </c>
      <c r="O223" s="2">
        <v>0.39</v>
      </c>
      <c r="P223" s="2">
        <v>0.15</v>
      </c>
      <c r="Q223" s="2">
        <v>0</v>
      </c>
      <c r="R223" s="2">
        <v>0</v>
      </c>
      <c r="S223">
        <f t="shared" si="3"/>
        <v>0.54</v>
      </c>
    </row>
    <row r="224" spans="1:19" x14ac:dyDescent="0.2">
      <c r="A224">
        <v>15</v>
      </c>
      <c r="B224" t="s">
        <v>38</v>
      </c>
      <c r="C224">
        <v>13</v>
      </c>
      <c r="D224" t="s">
        <v>19</v>
      </c>
      <c r="E224" t="s">
        <v>37</v>
      </c>
      <c r="F224" t="s">
        <v>17</v>
      </c>
      <c r="G224" t="s">
        <v>17</v>
      </c>
      <c r="H224" t="s">
        <v>17</v>
      </c>
      <c r="I224" t="s">
        <v>17</v>
      </c>
      <c r="J224" s="4" t="s">
        <v>17</v>
      </c>
      <c r="K224" t="s">
        <v>17</v>
      </c>
      <c r="L224" t="s">
        <v>17</v>
      </c>
      <c r="M224" t="s">
        <v>17</v>
      </c>
      <c r="N224" s="4" t="s">
        <v>17</v>
      </c>
      <c r="O224" s="2" t="s">
        <v>17</v>
      </c>
      <c r="P224" t="s">
        <v>17</v>
      </c>
      <c r="Q224" t="s">
        <v>17</v>
      </c>
      <c r="R224" t="s">
        <v>17</v>
      </c>
      <c r="S224" t="s">
        <v>17</v>
      </c>
    </row>
    <row r="225" spans="1:19" x14ac:dyDescent="0.2">
      <c r="A225">
        <v>15</v>
      </c>
      <c r="B225" t="s">
        <v>39</v>
      </c>
      <c r="C225">
        <v>14</v>
      </c>
      <c r="D225" t="s">
        <v>19</v>
      </c>
      <c r="E225" t="s">
        <v>37</v>
      </c>
      <c r="F225" t="s">
        <v>17</v>
      </c>
      <c r="G225" t="s">
        <v>17</v>
      </c>
      <c r="H225" t="s">
        <v>17</v>
      </c>
      <c r="I225" t="s">
        <v>17</v>
      </c>
      <c r="J225" s="4" t="s">
        <v>17</v>
      </c>
      <c r="K225" t="s">
        <v>17</v>
      </c>
      <c r="L225" t="s">
        <v>17</v>
      </c>
      <c r="M225" t="s">
        <v>17</v>
      </c>
      <c r="N225" s="4" t="s">
        <v>17</v>
      </c>
      <c r="O225" s="2" t="s">
        <v>17</v>
      </c>
      <c r="P225" t="s">
        <v>17</v>
      </c>
      <c r="Q225" t="s">
        <v>17</v>
      </c>
      <c r="R225" t="s">
        <v>17</v>
      </c>
      <c r="S225" t="s">
        <v>17</v>
      </c>
    </row>
    <row r="226" spans="1:19" x14ac:dyDescent="0.2">
      <c r="A226">
        <v>15</v>
      </c>
      <c r="B226" t="s">
        <v>40</v>
      </c>
      <c r="C226">
        <v>15</v>
      </c>
      <c r="D226" t="s">
        <v>19</v>
      </c>
      <c r="E226" t="s">
        <v>37</v>
      </c>
      <c r="F226" t="s">
        <v>17</v>
      </c>
      <c r="G226" t="s">
        <v>17</v>
      </c>
      <c r="H226" t="s">
        <v>17</v>
      </c>
      <c r="I226" t="s">
        <v>17</v>
      </c>
      <c r="J226" s="4" t="s">
        <v>17</v>
      </c>
      <c r="K226" t="s">
        <v>17</v>
      </c>
      <c r="L226" t="s">
        <v>17</v>
      </c>
      <c r="M226" t="s">
        <v>17</v>
      </c>
      <c r="N226" s="4" t="s">
        <v>17</v>
      </c>
      <c r="O226" s="2" t="s">
        <v>17</v>
      </c>
      <c r="P226" t="s">
        <v>17</v>
      </c>
      <c r="Q226" t="s">
        <v>17</v>
      </c>
      <c r="R226" t="s">
        <v>17</v>
      </c>
      <c r="S226" t="s">
        <v>17</v>
      </c>
    </row>
    <row r="227" spans="1:19" x14ac:dyDescent="0.2">
      <c r="A227">
        <v>16</v>
      </c>
      <c r="B227" t="s">
        <v>14</v>
      </c>
      <c r="C227">
        <v>1</v>
      </c>
      <c r="D227" t="s">
        <v>15</v>
      </c>
      <c r="E227" t="s">
        <v>16</v>
      </c>
      <c r="F227" t="s">
        <v>17</v>
      </c>
      <c r="G227" t="s">
        <v>17</v>
      </c>
      <c r="H227" t="s">
        <v>17</v>
      </c>
      <c r="I227">
        <v>10</v>
      </c>
      <c r="J227" s="4">
        <v>4.3499999999999996</v>
      </c>
      <c r="K227">
        <v>7.6</v>
      </c>
      <c r="L227">
        <v>0.30423577400000001</v>
      </c>
      <c r="M227" s="4" t="s">
        <v>17</v>
      </c>
      <c r="N227" s="4">
        <v>1.6</v>
      </c>
      <c r="O227" s="2">
        <v>0.01</v>
      </c>
      <c r="P227" s="2">
        <v>0</v>
      </c>
      <c r="Q227" s="2">
        <v>0</v>
      </c>
      <c r="R227" s="2">
        <v>0.01</v>
      </c>
      <c r="S227">
        <f t="shared" si="3"/>
        <v>0.02</v>
      </c>
    </row>
    <row r="228" spans="1:19" x14ac:dyDescent="0.2">
      <c r="A228">
        <v>16</v>
      </c>
      <c r="B228" t="s">
        <v>20</v>
      </c>
      <c r="C228">
        <v>2</v>
      </c>
      <c r="D228" t="s">
        <v>15</v>
      </c>
      <c r="E228" t="s">
        <v>16</v>
      </c>
      <c r="F228" t="s">
        <v>17</v>
      </c>
      <c r="G228" t="s">
        <v>17</v>
      </c>
      <c r="H228" t="s">
        <v>17</v>
      </c>
      <c r="I228">
        <v>10</v>
      </c>
      <c r="J228" s="4">
        <v>2.8</v>
      </c>
      <c r="K228">
        <v>7.55</v>
      </c>
      <c r="L228">
        <v>0.30666518199999998</v>
      </c>
      <c r="M228" s="4" t="s">
        <v>17</v>
      </c>
      <c r="N228" s="4">
        <v>1.4</v>
      </c>
      <c r="O228" s="2">
        <v>0.02</v>
      </c>
      <c r="P228" s="2">
        <v>0.01</v>
      </c>
      <c r="Q228" s="2">
        <v>0</v>
      </c>
      <c r="R228" s="2">
        <v>0.01</v>
      </c>
      <c r="S228">
        <f t="shared" si="3"/>
        <v>0.04</v>
      </c>
    </row>
    <row r="229" spans="1:19" x14ac:dyDescent="0.2">
      <c r="A229">
        <v>16</v>
      </c>
      <c r="B229" t="s">
        <v>21</v>
      </c>
      <c r="C229">
        <v>3</v>
      </c>
      <c r="D229" t="s">
        <v>15</v>
      </c>
      <c r="E229" t="s">
        <v>22</v>
      </c>
      <c r="F229" t="s">
        <v>17</v>
      </c>
      <c r="G229" t="s">
        <v>17</v>
      </c>
      <c r="H229" t="s">
        <v>17</v>
      </c>
      <c r="I229">
        <v>10</v>
      </c>
      <c r="J229" s="4">
        <v>5.75</v>
      </c>
      <c r="K229">
        <v>7.75</v>
      </c>
      <c r="L229">
        <v>0.30919746199999998</v>
      </c>
      <c r="M229" t="s">
        <v>17</v>
      </c>
      <c r="N229" s="4">
        <v>1.6</v>
      </c>
      <c r="O229" s="2">
        <v>0.03</v>
      </c>
      <c r="P229" s="2">
        <v>0.02</v>
      </c>
      <c r="Q229" s="2">
        <v>0</v>
      </c>
      <c r="R229" s="2">
        <v>0.01</v>
      </c>
      <c r="S229">
        <f t="shared" si="3"/>
        <v>6.0000000000000005E-2</v>
      </c>
    </row>
    <row r="230" spans="1:19" x14ac:dyDescent="0.2">
      <c r="A230">
        <v>16</v>
      </c>
      <c r="B230" t="s">
        <v>23</v>
      </c>
      <c r="C230">
        <v>4</v>
      </c>
      <c r="D230" t="s">
        <v>15</v>
      </c>
      <c r="E230" t="s">
        <v>22</v>
      </c>
      <c r="F230" t="s">
        <v>17</v>
      </c>
      <c r="G230" t="s">
        <v>17</v>
      </c>
      <c r="H230" t="s">
        <v>17</v>
      </c>
      <c r="I230">
        <v>10</v>
      </c>
      <c r="J230" s="4">
        <v>8.6</v>
      </c>
      <c r="K230">
        <v>7</v>
      </c>
      <c r="L230">
        <v>0.30870465000000002</v>
      </c>
      <c r="M230">
        <v>18.100000000000001</v>
      </c>
      <c r="N230" s="4">
        <v>1.5</v>
      </c>
      <c r="O230" s="2">
        <v>0.05</v>
      </c>
      <c r="P230" s="2">
        <v>0.04</v>
      </c>
      <c r="Q230" s="2">
        <v>0</v>
      </c>
      <c r="R230" s="2">
        <v>0.02</v>
      </c>
      <c r="S230">
        <f t="shared" si="3"/>
        <v>0.11</v>
      </c>
    </row>
    <row r="231" spans="1:19" x14ac:dyDescent="0.2">
      <c r="A231">
        <v>16</v>
      </c>
      <c r="B231" t="s">
        <v>24</v>
      </c>
      <c r="C231">
        <v>5</v>
      </c>
      <c r="D231" t="s">
        <v>15</v>
      </c>
      <c r="E231" t="s">
        <v>25</v>
      </c>
      <c r="F231" t="s">
        <v>17</v>
      </c>
      <c r="G231" t="s">
        <v>17</v>
      </c>
      <c r="H231" t="s">
        <v>17</v>
      </c>
      <c r="I231">
        <v>10</v>
      </c>
      <c r="J231" s="4">
        <v>9.1</v>
      </c>
      <c r="K231">
        <v>7.05</v>
      </c>
      <c r="L231">
        <v>0.31207813600000001</v>
      </c>
      <c r="M231">
        <v>24.6</v>
      </c>
      <c r="N231" s="4">
        <v>1.4</v>
      </c>
      <c r="O231" s="2">
        <v>0.08</v>
      </c>
      <c r="P231" s="2">
        <v>0.06</v>
      </c>
      <c r="Q231" s="2">
        <v>0.01</v>
      </c>
      <c r="R231" s="2">
        <v>0.02</v>
      </c>
      <c r="S231">
        <f t="shared" si="3"/>
        <v>0.17</v>
      </c>
    </row>
    <row r="232" spans="1:19" x14ac:dyDescent="0.2">
      <c r="A232">
        <v>16</v>
      </c>
      <c r="B232" t="s">
        <v>26</v>
      </c>
      <c r="C232">
        <v>6</v>
      </c>
      <c r="D232" t="s">
        <v>15</v>
      </c>
      <c r="E232" t="s">
        <v>27</v>
      </c>
      <c r="F232">
        <v>1.4658845250000001</v>
      </c>
      <c r="G232" s="1">
        <v>-8.5400000000000007E-9</v>
      </c>
      <c r="H232" s="1">
        <v>-1.1800000000000001E-5</v>
      </c>
      <c r="I232">
        <v>10</v>
      </c>
      <c r="J232" s="4">
        <v>9.8000000000000007</v>
      </c>
      <c r="K232">
        <v>7</v>
      </c>
      <c r="L232">
        <v>0.31216545099999998</v>
      </c>
      <c r="M232">
        <v>24.2</v>
      </c>
      <c r="N232" s="4">
        <v>1.6</v>
      </c>
      <c r="O232" s="2">
        <v>0.1</v>
      </c>
      <c r="P232" s="2">
        <v>7.0000000000000007E-2</v>
      </c>
      <c r="Q232" s="2">
        <v>0.04</v>
      </c>
      <c r="R232" s="2">
        <v>0.02</v>
      </c>
      <c r="S232">
        <f t="shared" si="3"/>
        <v>0.23</v>
      </c>
    </row>
    <row r="233" spans="1:19" x14ac:dyDescent="0.2">
      <c r="A233">
        <v>16</v>
      </c>
      <c r="B233" t="s">
        <v>28</v>
      </c>
      <c r="C233">
        <v>7</v>
      </c>
      <c r="D233" t="s">
        <v>15</v>
      </c>
      <c r="E233" t="s">
        <v>29</v>
      </c>
      <c r="F233" t="s">
        <v>17</v>
      </c>
      <c r="G233" t="s">
        <v>17</v>
      </c>
      <c r="H233" t="s">
        <v>17</v>
      </c>
      <c r="I233">
        <v>10</v>
      </c>
      <c r="J233" s="4">
        <v>9.85</v>
      </c>
      <c r="K233">
        <v>7.45</v>
      </c>
      <c r="L233">
        <v>0.31600892000000003</v>
      </c>
      <c r="M233">
        <v>25.9</v>
      </c>
      <c r="N233" s="4">
        <v>1.8</v>
      </c>
      <c r="O233" s="2">
        <v>0.12</v>
      </c>
      <c r="P233" s="2">
        <v>7.0000000000000007E-2</v>
      </c>
      <c r="Q233" s="2">
        <v>0.04</v>
      </c>
      <c r="R233" s="2">
        <v>0.02</v>
      </c>
      <c r="S233">
        <f t="shared" si="3"/>
        <v>0.25</v>
      </c>
    </row>
    <row r="234" spans="1:19" x14ac:dyDescent="0.2">
      <c r="A234">
        <v>16</v>
      </c>
      <c r="B234" t="s">
        <v>30</v>
      </c>
      <c r="C234">
        <v>8</v>
      </c>
      <c r="D234" t="s">
        <v>15</v>
      </c>
      <c r="E234" t="s">
        <v>29</v>
      </c>
      <c r="F234" t="s">
        <v>17</v>
      </c>
      <c r="G234" t="s">
        <v>17</v>
      </c>
      <c r="H234" t="s">
        <v>17</v>
      </c>
      <c r="I234">
        <v>10</v>
      </c>
      <c r="J234" s="4">
        <v>9.4499999999999993</v>
      </c>
      <c r="K234">
        <v>7.6</v>
      </c>
      <c r="L234">
        <v>0.31521025600000002</v>
      </c>
      <c r="M234">
        <v>27.5</v>
      </c>
      <c r="N234" s="4">
        <v>1.6</v>
      </c>
      <c r="O234" s="2">
        <v>0.15</v>
      </c>
      <c r="P234" s="2">
        <v>0.08</v>
      </c>
      <c r="Q234" s="2">
        <v>0.04</v>
      </c>
      <c r="R234" s="2">
        <v>0.02</v>
      </c>
      <c r="S234">
        <f t="shared" si="3"/>
        <v>0.28999999999999998</v>
      </c>
    </row>
    <row r="235" spans="1:19" x14ac:dyDescent="0.2">
      <c r="A235">
        <v>16</v>
      </c>
      <c r="B235" t="s">
        <v>31</v>
      </c>
      <c r="C235">
        <v>9</v>
      </c>
      <c r="D235" t="s">
        <v>15</v>
      </c>
      <c r="E235" t="s">
        <v>29</v>
      </c>
      <c r="F235">
        <v>1.245756101</v>
      </c>
      <c r="G235" s="1">
        <v>9.4199999999999993E-9</v>
      </c>
      <c r="H235" s="1">
        <v>1.2999999999999999E-5</v>
      </c>
      <c r="I235">
        <v>10</v>
      </c>
      <c r="J235" s="4">
        <v>9.4499999999999993</v>
      </c>
      <c r="K235">
        <v>7.1</v>
      </c>
      <c r="L235">
        <v>0.32159061500000002</v>
      </c>
      <c r="M235">
        <v>32.9</v>
      </c>
      <c r="N235" s="4">
        <v>1.2</v>
      </c>
      <c r="O235" s="2">
        <v>0.18</v>
      </c>
      <c r="P235" s="2">
        <v>0.08</v>
      </c>
      <c r="Q235" s="2">
        <v>0.04</v>
      </c>
      <c r="R235" s="2">
        <v>0.03</v>
      </c>
      <c r="S235">
        <f t="shared" si="3"/>
        <v>0.32999999999999996</v>
      </c>
    </row>
    <row r="236" spans="1:19" x14ac:dyDescent="0.2">
      <c r="A236">
        <v>16</v>
      </c>
      <c r="B236" t="s">
        <v>32</v>
      </c>
      <c r="C236">
        <v>10</v>
      </c>
      <c r="D236" t="s">
        <v>15</v>
      </c>
      <c r="E236" t="s">
        <v>33</v>
      </c>
      <c r="F236" t="s">
        <v>17</v>
      </c>
      <c r="G236" t="s">
        <v>17</v>
      </c>
      <c r="H236" t="s">
        <v>17</v>
      </c>
      <c r="I236">
        <v>10</v>
      </c>
      <c r="J236" s="4">
        <v>9.9499999999999993</v>
      </c>
      <c r="K236">
        <v>6.45</v>
      </c>
      <c r="L236">
        <v>0.32245189600000002</v>
      </c>
      <c r="M236">
        <v>36.4</v>
      </c>
      <c r="N236" s="4">
        <v>1.4</v>
      </c>
      <c r="O236" s="2">
        <v>0.22</v>
      </c>
      <c r="P236" s="2">
        <v>7.0000000000000007E-2</v>
      </c>
      <c r="Q236" s="2">
        <v>0.03</v>
      </c>
      <c r="R236" s="2">
        <v>0.03</v>
      </c>
      <c r="S236">
        <f t="shared" si="3"/>
        <v>0.35000000000000009</v>
      </c>
    </row>
    <row r="237" spans="1:19" x14ac:dyDescent="0.2">
      <c r="A237">
        <v>16</v>
      </c>
      <c r="B237" t="s">
        <v>35</v>
      </c>
      <c r="C237">
        <v>11</v>
      </c>
      <c r="D237" t="s">
        <v>15</v>
      </c>
      <c r="E237" t="s">
        <v>33</v>
      </c>
      <c r="F237">
        <v>2.0948482570000002</v>
      </c>
      <c r="G237" s="1">
        <v>-6.2699999999999999E-8</v>
      </c>
      <c r="H237" s="1">
        <v>-8.6899999999999998E-5</v>
      </c>
      <c r="I237">
        <v>10</v>
      </c>
      <c r="J237" s="4">
        <v>10</v>
      </c>
      <c r="K237">
        <v>6.85</v>
      </c>
      <c r="L237">
        <v>0.32839015300000002</v>
      </c>
      <c r="M237">
        <v>36.200000000000003</v>
      </c>
      <c r="N237" s="4">
        <v>1.4</v>
      </c>
      <c r="O237" s="2">
        <v>0.28000000000000003</v>
      </c>
      <c r="P237" s="2">
        <v>0.1</v>
      </c>
      <c r="Q237" s="2">
        <v>0.03</v>
      </c>
      <c r="R237" s="2">
        <v>0.02</v>
      </c>
      <c r="S237">
        <f t="shared" si="3"/>
        <v>0.43000000000000005</v>
      </c>
    </row>
    <row r="238" spans="1:19" x14ac:dyDescent="0.2">
      <c r="A238">
        <v>16</v>
      </c>
      <c r="B238" t="s">
        <v>36</v>
      </c>
      <c r="C238">
        <v>12</v>
      </c>
      <c r="D238" t="s">
        <v>15</v>
      </c>
      <c r="E238" t="s">
        <v>37</v>
      </c>
      <c r="F238" t="s">
        <v>17</v>
      </c>
      <c r="G238" t="s">
        <v>17</v>
      </c>
      <c r="H238" t="s">
        <v>17</v>
      </c>
      <c r="I238">
        <v>10</v>
      </c>
      <c r="J238" s="4">
        <v>9.1999999999999993</v>
      </c>
      <c r="K238">
        <v>7.1</v>
      </c>
      <c r="L238">
        <v>0.33648246199999998</v>
      </c>
      <c r="M238">
        <v>35.700000000000003</v>
      </c>
      <c r="N238" s="4">
        <v>1.2</v>
      </c>
      <c r="O238" s="2">
        <v>0.38</v>
      </c>
      <c r="P238" s="2">
        <v>0.11</v>
      </c>
      <c r="Q238" s="2">
        <v>0.02</v>
      </c>
      <c r="R238" s="2">
        <v>0.01</v>
      </c>
      <c r="S238">
        <f t="shared" si="3"/>
        <v>0.52</v>
      </c>
    </row>
    <row r="239" spans="1:19" x14ac:dyDescent="0.2">
      <c r="A239">
        <v>16</v>
      </c>
      <c r="B239" t="s">
        <v>38</v>
      </c>
      <c r="C239">
        <v>13</v>
      </c>
      <c r="D239" t="s">
        <v>15</v>
      </c>
      <c r="E239" t="s">
        <v>37</v>
      </c>
      <c r="F239">
        <v>1.935896413</v>
      </c>
      <c r="G239" s="1">
        <v>-6.5499999999999999E-9</v>
      </c>
      <c r="H239" s="1">
        <v>-9.0799999999999995E-6</v>
      </c>
      <c r="I239">
        <v>2.5</v>
      </c>
      <c r="J239" s="4">
        <v>8.6</v>
      </c>
      <c r="K239">
        <v>7.25</v>
      </c>
      <c r="L239">
        <v>0.34333018399999998</v>
      </c>
      <c r="M239">
        <v>37.200000000000003</v>
      </c>
      <c r="N239" s="4">
        <v>1</v>
      </c>
      <c r="O239" s="2">
        <v>0.43</v>
      </c>
      <c r="P239" s="2">
        <v>0.11</v>
      </c>
      <c r="Q239" s="2">
        <v>0.02</v>
      </c>
      <c r="R239" s="2">
        <v>0.01</v>
      </c>
      <c r="S239">
        <f t="shared" si="3"/>
        <v>0.57000000000000006</v>
      </c>
    </row>
    <row r="240" spans="1:19" x14ac:dyDescent="0.2">
      <c r="A240">
        <v>16</v>
      </c>
      <c r="B240" t="s">
        <v>39</v>
      </c>
      <c r="C240">
        <v>14</v>
      </c>
      <c r="D240" t="s">
        <v>15</v>
      </c>
      <c r="E240" t="s">
        <v>37</v>
      </c>
      <c r="F240" t="s">
        <v>17</v>
      </c>
      <c r="G240" t="s">
        <v>17</v>
      </c>
      <c r="H240" t="s">
        <v>17</v>
      </c>
      <c r="I240">
        <v>0.5</v>
      </c>
      <c r="J240" s="4">
        <v>8.4499999999999993</v>
      </c>
      <c r="K240">
        <v>7.25</v>
      </c>
      <c r="L240">
        <v>0.344443693</v>
      </c>
      <c r="M240">
        <v>37.6</v>
      </c>
      <c r="N240" s="4">
        <v>0.8</v>
      </c>
      <c r="O240" s="2">
        <v>0.43</v>
      </c>
      <c r="P240" s="2">
        <v>0.11</v>
      </c>
      <c r="Q240" s="2">
        <v>0.02</v>
      </c>
      <c r="R240" s="2">
        <v>0.01</v>
      </c>
      <c r="S240">
        <f t="shared" si="3"/>
        <v>0.57000000000000006</v>
      </c>
    </row>
    <row r="241" spans="1:19" x14ac:dyDescent="0.2">
      <c r="A241">
        <v>16</v>
      </c>
      <c r="B241" t="s">
        <v>40</v>
      </c>
      <c r="C241">
        <v>15</v>
      </c>
      <c r="D241" t="s">
        <v>15</v>
      </c>
      <c r="E241" t="s">
        <v>37</v>
      </c>
      <c r="F241">
        <v>1.0755126699999999</v>
      </c>
      <c r="G241" s="1">
        <v>-3.3000000000000002E-9</v>
      </c>
      <c r="H241" s="1">
        <v>-4.5700000000000003E-6</v>
      </c>
      <c r="I241">
        <v>-1.5</v>
      </c>
      <c r="J241" s="4">
        <v>6.2</v>
      </c>
      <c r="K241">
        <v>7.55</v>
      </c>
      <c r="L241">
        <v>0.34217989199999999</v>
      </c>
      <c r="M241">
        <v>36.299999999999997</v>
      </c>
      <c r="N241" s="4" t="s">
        <v>17</v>
      </c>
      <c r="O241" s="2">
        <v>0.43</v>
      </c>
      <c r="P241" s="2">
        <v>0.11</v>
      </c>
      <c r="Q241" s="2">
        <v>0.02</v>
      </c>
      <c r="R241" s="2">
        <v>0.01</v>
      </c>
      <c r="S241">
        <f t="shared" si="3"/>
        <v>0.57000000000000006</v>
      </c>
    </row>
    <row r="242" spans="1:19" x14ac:dyDescent="0.2">
      <c r="A242">
        <v>17</v>
      </c>
      <c r="B242" t="s">
        <v>14</v>
      </c>
      <c r="C242">
        <v>1</v>
      </c>
      <c r="D242" t="s">
        <v>19</v>
      </c>
      <c r="E242" t="s">
        <v>16</v>
      </c>
      <c r="F242" t="s">
        <v>17</v>
      </c>
      <c r="G242" t="s">
        <v>17</v>
      </c>
      <c r="H242" t="s">
        <v>17</v>
      </c>
      <c r="I242">
        <v>10</v>
      </c>
      <c r="J242" s="4">
        <v>5.25</v>
      </c>
      <c r="K242">
        <v>7.55</v>
      </c>
      <c r="L242">
        <v>0.30525303999999998</v>
      </c>
      <c r="M242" s="4" t="s">
        <v>17</v>
      </c>
      <c r="N242" s="4">
        <v>1.8</v>
      </c>
      <c r="O242" s="2">
        <v>0</v>
      </c>
      <c r="P242" s="2">
        <v>0.01</v>
      </c>
      <c r="Q242" s="2">
        <v>0</v>
      </c>
      <c r="R242" s="2">
        <v>0.03</v>
      </c>
      <c r="S242">
        <f t="shared" si="3"/>
        <v>0.04</v>
      </c>
    </row>
    <row r="243" spans="1:19" x14ac:dyDescent="0.2">
      <c r="A243">
        <v>17</v>
      </c>
      <c r="B243" t="s">
        <v>20</v>
      </c>
      <c r="C243">
        <v>2</v>
      </c>
      <c r="D243" t="s">
        <v>19</v>
      </c>
      <c r="E243" t="s">
        <v>16</v>
      </c>
      <c r="F243" t="s">
        <v>17</v>
      </c>
      <c r="G243" t="s">
        <v>17</v>
      </c>
      <c r="H243" t="s">
        <v>17</v>
      </c>
      <c r="I243">
        <v>10</v>
      </c>
      <c r="J243" s="4">
        <v>5.0999999999999996</v>
      </c>
      <c r="K243">
        <v>7.45</v>
      </c>
      <c r="L243">
        <v>0.30769883100000001</v>
      </c>
      <c r="M243" s="4" t="s">
        <v>17</v>
      </c>
      <c r="N243" s="4">
        <v>1.4</v>
      </c>
      <c r="O243" s="2">
        <v>0.01</v>
      </c>
      <c r="P243" s="2">
        <v>0.03</v>
      </c>
      <c r="Q243" s="2">
        <v>0.01</v>
      </c>
      <c r="R243" s="2">
        <v>0.05</v>
      </c>
      <c r="S243">
        <f t="shared" si="3"/>
        <v>0.1</v>
      </c>
    </row>
    <row r="244" spans="1:19" x14ac:dyDescent="0.2">
      <c r="A244">
        <v>17</v>
      </c>
      <c r="B244" t="s">
        <v>21</v>
      </c>
      <c r="C244">
        <v>3</v>
      </c>
      <c r="D244" t="s">
        <v>19</v>
      </c>
      <c r="E244" t="s">
        <v>22</v>
      </c>
      <c r="F244" t="s">
        <v>17</v>
      </c>
      <c r="G244" t="s">
        <v>17</v>
      </c>
      <c r="H244" t="s">
        <v>17</v>
      </c>
      <c r="I244">
        <v>10</v>
      </c>
      <c r="J244" s="4">
        <v>5.65</v>
      </c>
      <c r="K244">
        <v>7.65</v>
      </c>
      <c r="L244">
        <v>0.31296179600000001</v>
      </c>
      <c r="M244" t="s">
        <v>17</v>
      </c>
      <c r="N244" s="4">
        <v>1.4</v>
      </c>
      <c r="O244" s="2">
        <v>0.03</v>
      </c>
      <c r="P244" s="2">
        <v>0.06</v>
      </c>
      <c r="Q244" s="2">
        <v>0.02</v>
      </c>
      <c r="R244" s="2">
        <v>0.04</v>
      </c>
      <c r="S244">
        <f t="shared" si="3"/>
        <v>0.15</v>
      </c>
    </row>
    <row r="245" spans="1:19" x14ac:dyDescent="0.2">
      <c r="A245">
        <v>17</v>
      </c>
      <c r="B245" t="s">
        <v>23</v>
      </c>
      <c r="C245">
        <v>4</v>
      </c>
      <c r="D245" t="s">
        <v>19</v>
      </c>
      <c r="E245" t="s">
        <v>22</v>
      </c>
      <c r="F245" t="s">
        <v>17</v>
      </c>
      <c r="G245" t="s">
        <v>17</v>
      </c>
      <c r="H245" t="s">
        <v>17</v>
      </c>
      <c r="I245">
        <v>10</v>
      </c>
      <c r="J245" s="4">
        <v>8.9</v>
      </c>
      <c r="K245">
        <v>7</v>
      </c>
      <c r="L245">
        <v>0.31367215300000001</v>
      </c>
      <c r="M245">
        <v>9.6</v>
      </c>
      <c r="N245" s="4">
        <v>1.6</v>
      </c>
      <c r="O245" s="2">
        <v>0.05</v>
      </c>
      <c r="P245" s="2">
        <v>0.12</v>
      </c>
      <c r="Q245" s="2">
        <v>0.02</v>
      </c>
      <c r="R245" s="2">
        <v>0.04</v>
      </c>
      <c r="S245">
        <f t="shared" si="3"/>
        <v>0.22999999999999998</v>
      </c>
    </row>
    <row r="246" spans="1:19" x14ac:dyDescent="0.2">
      <c r="A246">
        <v>17</v>
      </c>
      <c r="B246" t="s">
        <v>24</v>
      </c>
      <c r="C246">
        <v>5</v>
      </c>
      <c r="D246" t="s">
        <v>19</v>
      </c>
      <c r="E246" t="s">
        <v>25</v>
      </c>
      <c r="F246" t="s">
        <v>17</v>
      </c>
      <c r="G246" t="s">
        <v>17</v>
      </c>
      <c r="H246" t="s">
        <v>17</v>
      </c>
      <c r="I246">
        <v>10</v>
      </c>
      <c r="J246" s="4">
        <v>10</v>
      </c>
      <c r="K246">
        <v>7.05</v>
      </c>
      <c r="L246">
        <v>0.31641260399999999</v>
      </c>
      <c r="M246">
        <v>16.3</v>
      </c>
      <c r="N246" s="4">
        <v>1.4</v>
      </c>
      <c r="O246" s="2">
        <v>0.08</v>
      </c>
      <c r="P246" s="2">
        <v>0.13</v>
      </c>
      <c r="Q246" s="2">
        <v>0.03</v>
      </c>
      <c r="R246" s="2">
        <v>0.04</v>
      </c>
      <c r="S246">
        <f t="shared" si="3"/>
        <v>0.28000000000000003</v>
      </c>
    </row>
    <row r="247" spans="1:19" x14ac:dyDescent="0.2">
      <c r="A247">
        <v>17</v>
      </c>
      <c r="B247" t="s">
        <v>26</v>
      </c>
      <c r="C247">
        <v>6</v>
      </c>
      <c r="D247" t="s">
        <v>19</v>
      </c>
      <c r="E247" t="s">
        <v>27</v>
      </c>
      <c r="F247">
        <v>1.3598604059999999</v>
      </c>
      <c r="G247" s="1">
        <v>4.58E-8</v>
      </c>
      <c r="H247" s="1">
        <v>6.3499999999999999E-5</v>
      </c>
      <c r="I247">
        <v>10</v>
      </c>
      <c r="J247" s="4">
        <v>9.6999999999999993</v>
      </c>
      <c r="K247">
        <v>6.85</v>
      </c>
      <c r="L247">
        <v>0.31920736100000002</v>
      </c>
      <c r="M247">
        <v>16.2</v>
      </c>
      <c r="N247" s="4">
        <v>1.6</v>
      </c>
      <c r="O247" s="2">
        <v>0.12</v>
      </c>
      <c r="P247" s="2">
        <v>0.15</v>
      </c>
      <c r="Q247" s="2">
        <v>0.03</v>
      </c>
      <c r="R247" s="2">
        <v>0.03</v>
      </c>
      <c r="S247">
        <f t="shared" si="3"/>
        <v>0.33000000000000007</v>
      </c>
    </row>
    <row r="248" spans="1:19" x14ac:dyDescent="0.2">
      <c r="A248">
        <v>17</v>
      </c>
      <c r="B248" t="s">
        <v>28</v>
      </c>
      <c r="C248">
        <v>7</v>
      </c>
      <c r="D248" t="s">
        <v>19</v>
      </c>
      <c r="E248" t="s">
        <v>29</v>
      </c>
      <c r="F248" t="s">
        <v>17</v>
      </c>
      <c r="G248" t="s">
        <v>17</v>
      </c>
      <c r="H248" t="s">
        <v>17</v>
      </c>
      <c r="I248">
        <v>6.625</v>
      </c>
      <c r="J248" s="4">
        <v>10.199999999999999</v>
      </c>
      <c r="K248">
        <v>6.8</v>
      </c>
      <c r="L248">
        <v>0.32323675000000002</v>
      </c>
      <c r="M248">
        <v>18.100000000000001</v>
      </c>
      <c r="N248" s="4">
        <v>1</v>
      </c>
      <c r="O248" s="2">
        <v>0.18</v>
      </c>
      <c r="P248" s="2">
        <v>0.16</v>
      </c>
      <c r="Q248" s="2">
        <v>0.03</v>
      </c>
      <c r="R248" s="2">
        <v>0.03</v>
      </c>
      <c r="S248">
        <f t="shared" si="3"/>
        <v>0.4</v>
      </c>
    </row>
    <row r="249" spans="1:19" x14ac:dyDescent="0.2">
      <c r="A249">
        <v>17</v>
      </c>
      <c r="B249" t="s">
        <v>30</v>
      </c>
      <c r="C249">
        <v>8</v>
      </c>
      <c r="D249" t="s">
        <v>19</v>
      </c>
      <c r="E249" t="s">
        <v>29</v>
      </c>
      <c r="F249" t="s">
        <v>17</v>
      </c>
      <c r="G249" t="s">
        <v>17</v>
      </c>
      <c r="H249" t="s">
        <v>17</v>
      </c>
      <c r="I249">
        <v>6.625</v>
      </c>
      <c r="J249" s="4">
        <v>9.5500000000000007</v>
      </c>
      <c r="K249">
        <v>7.05</v>
      </c>
      <c r="L249">
        <v>0.32544387899999999</v>
      </c>
      <c r="M249">
        <v>17.7</v>
      </c>
      <c r="N249" s="4">
        <v>1.4</v>
      </c>
      <c r="O249" s="2">
        <v>0.22</v>
      </c>
      <c r="P249" s="2">
        <v>0.18</v>
      </c>
      <c r="Q249" s="2">
        <v>0.03</v>
      </c>
      <c r="R249" s="2">
        <v>0.02</v>
      </c>
      <c r="S249">
        <f t="shared" si="3"/>
        <v>0.45000000000000007</v>
      </c>
    </row>
    <row r="250" spans="1:19" x14ac:dyDescent="0.2">
      <c r="A250">
        <v>17</v>
      </c>
      <c r="B250" t="s">
        <v>31</v>
      </c>
      <c r="C250">
        <v>9</v>
      </c>
      <c r="D250" t="s">
        <v>19</v>
      </c>
      <c r="E250" t="s">
        <v>29</v>
      </c>
      <c r="F250">
        <v>1.3953960240000001</v>
      </c>
      <c r="G250" s="1">
        <v>-7.1799999999999994E-8</v>
      </c>
      <c r="H250" s="1">
        <v>-9.9500000000000006E-5</v>
      </c>
      <c r="I250">
        <v>4.75</v>
      </c>
      <c r="J250" s="4">
        <v>9.9499999999999993</v>
      </c>
      <c r="K250">
        <v>6.95</v>
      </c>
      <c r="L250">
        <v>0.32837137</v>
      </c>
      <c r="M250">
        <v>19.2</v>
      </c>
      <c r="N250" s="4">
        <v>1</v>
      </c>
      <c r="O250" s="2">
        <v>0.27</v>
      </c>
      <c r="P250" s="2">
        <v>0.18</v>
      </c>
      <c r="Q250" s="2">
        <v>0.02</v>
      </c>
      <c r="R250" s="2">
        <v>0.02</v>
      </c>
      <c r="S250">
        <f t="shared" si="3"/>
        <v>0.49000000000000005</v>
      </c>
    </row>
    <row r="251" spans="1:19" x14ac:dyDescent="0.2">
      <c r="A251">
        <v>17</v>
      </c>
      <c r="B251" t="s">
        <v>34</v>
      </c>
      <c r="C251">
        <v>10</v>
      </c>
      <c r="D251" t="s">
        <v>19</v>
      </c>
      <c r="E251" t="s">
        <v>33</v>
      </c>
      <c r="F251" t="s">
        <v>17</v>
      </c>
      <c r="G251" t="s">
        <v>17</v>
      </c>
      <c r="H251" t="s">
        <v>17</v>
      </c>
      <c r="I251">
        <v>2.5</v>
      </c>
      <c r="J251" s="4">
        <v>9.85</v>
      </c>
      <c r="K251">
        <v>6.85</v>
      </c>
      <c r="L251">
        <v>0.325864088</v>
      </c>
      <c r="M251">
        <v>19.7</v>
      </c>
      <c r="N251" s="4">
        <v>1</v>
      </c>
      <c r="O251" s="2">
        <v>0.25</v>
      </c>
      <c r="P251" s="2">
        <v>0.18</v>
      </c>
      <c r="Q251" s="2">
        <v>0.02</v>
      </c>
      <c r="R251" s="2">
        <v>0.02</v>
      </c>
      <c r="S251">
        <f t="shared" si="3"/>
        <v>0.47000000000000003</v>
      </c>
    </row>
    <row r="252" spans="1:19" x14ac:dyDescent="0.2">
      <c r="A252">
        <v>17</v>
      </c>
      <c r="B252" t="s">
        <v>35</v>
      </c>
      <c r="C252">
        <v>11</v>
      </c>
      <c r="D252" t="s">
        <v>19</v>
      </c>
      <c r="E252" t="s">
        <v>33</v>
      </c>
      <c r="F252">
        <v>0.90418254499999995</v>
      </c>
      <c r="G252" s="1">
        <v>-1.8299999999999998E-8</v>
      </c>
      <c r="H252" s="1">
        <v>-2.5299999999999998E-5</v>
      </c>
      <c r="I252">
        <v>0.5</v>
      </c>
      <c r="J252" s="4">
        <v>9.6</v>
      </c>
      <c r="K252">
        <v>7</v>
      </c>
      <c r="L252">
        <v>0.32521515200000001</v>
      </c>
      <c r="M252">
        <v>19.2</v>
      </c>
      <c r="N252" s="4">
        <v>1</v>
      </c>
      <c r="O252" s="2">
        <v>0.25</v>
      </c>
      <c r="P252" s="2">
        <v>0.18</v>
      </c>
      <c r="Q252" s="2">
        <v>0.02</v>
      </c>
      <c r="R252" s="2">
        <v>0.02</v>
      </c>
      <c r="S252">
        <f t="shared" si="3"/>
        <v>0.47000000000000003</v>
      </c>
    </row>
    <row r="253" spans="1:19" x14ac:dyDescent="0.2">
      <c r="A253">
        <v>17</v>
      </c>
      <c r="B253" t="s">
        <v>36</v>
      </c>
      <c r="C253">
        <v>12</v>
      </c>
      <c r="D253" t="s">
        <v>19</v>
      </c>
      <c r="E253" t="s">
        <v>37</v>
      </c>
      <c r="F253" t="s">
        <v>17</v>
      </c>
      <c r="G253" t="s">
        <v>17</v>
      </c>
      <c r="H253" t="s">
        <v>17</v>
      </c>
      <c r="I253">
        <v>-1.5</v>
      </c>
      <c r="J253" s="4">
        <v>8.5</v>
      </c>
      <c r="K253">
        <v>7.5</v>
      </c>
      <c r="L253">
        <v>0.32322137000000001</v>
      </c>
      <c r="M253">
        <v>19.399999999999999</v>
      </c>
      <c r="N253" s="4">
        <v>13</v>
      </c>
      <c r="O253" s="2">
        <v>0.23</v>
      </c>
      <c r="P253" s="2">
        <v>0.18</v>
      </c>
      <c r="Q253" s="2">
        <v>0.02</v>
      </c>
      <c r="R253" s="2">
        <v>0.02</v>
      </c>
      <c r="S253">
        <f t="shared" si="3"/>
        <v>0.45000000000000007</v>
      </c>
    </row>
    <row r="254" spans="1:19" x14ac:dyDescent="0.2">
      <c r="A254">
        <v>17</v>
      </c>
      <c r="B254" t="s">
        <v>38</v>
      </c>
      <c r="C254">
        <v>13</v>
      </c>
      <c r="D254" t="s">
        <v>19</v>
      </c>
      <c r="E254" t="s">
        <v>37</v>
      </c>
      <c r="F254" t="s">
        <v>17</v>
      </c>
      <c r="G254" t="s">
        <v>17</v>
      </c>
      <c r="H254" t="s">
        <v>17</v>
      </c>
      <c r="I254" t="s">
        <v>17</v>
      </c>
      <c r="J254" s="4" t="s">
        <v>17</v>
      </c>
      <c r="K254" t="s">
        <v>17</v>
      </c>
      <c r="L254" t="s">
        <v>17</v>
      </c>
      <c r="M254" t="s">
        <v>17</v>
      </c>
      <c r="N254" s="4" t="s">
        <v>17</v>
      </c>
      <c r="O254" s="2" t="s">
        <v>17</v>
      </c>
      <c r="P254" t="s">
        <v>17</v>
      </c>
      <c r="Q254" t="s">
        <v>17</v>
      </c>
      <c r="R254" t="s">
        <v>17</v>
      </c>
      <c r="S254" t="s">
        <v>17</v>
      </c>
    </row>
    <row r="255" spans="1:19" x14ac:dyDescent="0.2">
      <c r="A255">
        <v>17</v>
      </c>
      <c r="B255" t="s">
        <v>39</v>
      </c>
      <c r="C255">
        <v>14</v>
      </c>
      <c r="D255" t="s">
        <v>19</v>
      </c>
      <c r="E255" t="s">
        <v>37</v>
      </c>
      <c r="F255" t="s">
        <v>17</v>
      </c>
      <c r="G255" t="s">
        <v>17</v>
      </c>
      <c r="H255" t="s">
        <v>17</v>
      </c>
      <c r="I255" t="s">
        <v>17</v>
      </c>
      <c r="J255" s="4" t="s">
        <v>17</v>
      </c>
      <c r="K255" t="s">
        <v>17</v>
      </c>
      <c r="L255" t="s">
        <v>17</v>
      </c>
      <c r="M255" t="s">
        <v>17</v>
      </c>
      <c r="N255" s="4" t="s">
        <v>17</v>
      </c>
      <c r="O255" s="2" t="s">
        <v>17</v>
      </c>
      <c r="P255" t="s">
        <v>17</v>
      </c>
      <c r="Q255" t="s">
        <v>17</v>
      </c>
      <c r="R255" t="s">
        <v>17</v>
      </c>
      <c r="S255" t="s">
        <v>17</v>
      </c>
    </row>
    <row r="256" spans="1:19" x14ac:dyDescent="0.2">
      <c r="A256">
        <v>17</v>
      </c>
      <c r="B256" t="s">
        <v>40</v>
      </c>
      <c r="C256">
        <v>15</v>
      </c>
      <c r="D256" t="s">
        <v>19</v>
      </c>
      <c r="E256" t="s">
        <v>37</v>
      </c>
      <c r="F256" t="s">
        <v>17</v>
      </c>
      <c r="G256" t="s">
        <v>17</v>
      </c>
      <c r="H256" t="s">
        <v>17</v>
      </c>
      <c r="I256" t="s">
        <v>17</v>
      </c>
      <c r="J256" s="4" t="s">
        <v>17</v>
      </c>
      <c r="K256" t="s">
        <v>17</v>
      </c>
      <c r="L256" t="s">
        <v>17</v>
      </c>
      <c r="M256" t="s">
        <v>17</v>
      </c>
      <c r="N256" s="4" t="s">
        <v>17</v>
      </c>
      <c r="O256" s="2" t="s">
        <v>17</v>
      </c>
      <c r="P256" t="s">
        <v>17</v>
      </c>
      <c r="Q256" t="s">
        <v>17</v>
      </c>
      <c r="R256" t="s">
        <v>17</v>
      </c>
      <c r="S256" t="s">
        <v>17</v>
      </c>
    </row>
    <row r="257" spans="1:19" x14ac:dyDescent="0.2">
      <c r="A257">
        <v>18</v>
      </c>
      <c r="B257" t="s">
        <v>14</v>
      </c>
      <c r="C257">
        <v>1</v>
      </c>
      <c r="D257" t="s">
        <v>15</v>
      </c>
      <c r="E257" t="s">
        <v>16</v>
      </c>
      <c r="F257" t="s">
        <v>17</v>
      </c>
      <c r="G257" t="s">
        <v>17</v>
      </c>
      <c r="H257" t="s">
        <v>17</v>
      </c>
      <c r="I257">
        <v>10</v>
      </c>
      <c r="J257" s="4">
        <v>5.0999999999999996</v>
      </c>
      <c r="K257">
        <v>7.3</v>
      </c>
      <c r="L257">
        <v>0.30389934699999999</v>
      </c>
      <c r="M257" s="4" t="s">
        <v>17</v>
      </c>
      <c r="N257" s="4">
        <v>1.6</v>
      </c>
      <c r="O257" s="2">
        <v>0.04</v>
      </c>
      <c r="P257" s="2">
        <v>0.01</v>
      </c>
      <c r="Q257" s="2">
        <v>0</v>
      </c>
      <c r="R257" s="2">
        <v>0.03</v>
      </c>
      <c r="S257">
        <f t="shared" si="3"/>
        <v>0.08</v>
      </c>
    </row>
    <row r="258" spans="1:19" x14ac:dyDescent="0.2">
      <c r="A258">
        <v>18</v>
      </c>
      <c r="B258" t="s">
        <v>20</v>
      </c>
      <c r="C258">
        <v>2</v>
      </c>
      <c r="D258" t="s">
        <v>15</v>
      </c>
      <c r="E258" t="s">
        <v>16</v>
      </c>
      <c r="F258" t="s">
        <v>17</v>
      </c>
      <c r="G258" t="s">
        <v>17</v>
      </c>
      <c r="H258" t="s">
        <v>17</v>
      </c>
      <c r="I258">
        <v>10</v>
      </c>
      <c r="J258" s="4">
        <v>4.9000000000000004</v>
      </c>
      <c r="K258">
        <v>7.7</v>
      </c>
      <c r="L258">
        <v>0.31033005699999999</v>
      </c>
      <c r="M258" s="4" t="s">
        <v>17</v>
      </c>
      <c r="N258" s="4">
        <v>1.4</v>
      </c>
      <c r="O258" s="2">
        <v>0.1</v>
      </c>
      <c r="P258" s="2">
        <v>0.02</v>
      </c>
      <c r="Q258" s="2">
        <v>0</v>
      </c>
      <c r="R258" s="2">
        <v>0.03</v>
      </c>
      <c r="S258">
        <f t="shared" si="3"/>
        <v>0.15000000000000002</v>
      </c>
    </row>
    <row r="259" spans="1:19" x14ac:dyDescent="0.2">
      <c r="A259">
        <v>18</v>
      </c>
      <c r="B259" t="s">
        <v>21</v>
      </c>
      <c r="C259">
        <v>3</v>
      </c>
      <c r="D259" t="s">
        <v>15</v>
      </c>
      <c r="E259" t="s">
        <v>22</v>
      </c>
      <c r="F259" t="s">
        <v>17</v>
      </c>
      <c r="G259" t="s">
        <v>17</v>
      </c>
      <c r="H259" t="s">
        <v>17</v>
      </c>
      <c r="I259">
        <v>10</v>
      </c>
      <c r="J259" s="4">
        <v>4.3</v>
      </c>
      <c r="K259">
        <v>7.65</v>
      </c>
      <c r="L259">
        <v>0.312753636</v>
      </c>
      <c r="M259" t="s">
        <v>17</v>
      </c>
      <c r="N259" s="4">
        <v>1.6</v>
      </c>
      <c r="O259" s="2">
        <v>0.15</v>
      </c>
      <c r="P259" s="2">
        <v>0.08</v>
      </c>
      <c r="Q259" s="2">
        <v>0</v>
      </c>
      <c r="R259" s="2">
        <v>0.02</v>
      </c>
      <c r="S259">
        <f t="shared" ref="S259:S316" si="4">SUM(O259:R259)</f>
        <v>0.24999999999999997</v>
      </c>
    </row>
    <row r="260" spans="1:19" x14ac:dyDescent="0.2">
      <c r="A260">
        <v>18</v>
      </c>
      <c r="B260" t="s">
        <v>23</v>
      </c>
      <c r="C260">
        <v>4</v>
      </c>
      <c r="D260" t="s">
        <v>15</v>
      </c>
      <c r="E260" t="s">
        <v>22</v>
      </c>
      <c r="F260" t="s">
        <v>17</v>
      </c>
      <c r="G260" t="s">
        <v>17</v>
      </c>
      <c r="H260" t="s">
        <v>17</v>
      </c>
      <c r="I260">
        <v>10</v>
      </c>
      <c r="J260" s="4" t="s">
        <v>17</v>
      </c>
      <c r="K260">
        <v>7</v>
      </c>
      <c r="L260">
        <v>0.31737417200000001</v>
      </c>
      <c r="M260">
        <v>15.7</v>
      </c>
      <c r="N260" s="4">
        <v>1.4</v>
      </c>
      <c r="O260" s="2">
        <v>0.2</v>
      </c>
      <c r="P260" s="2">
        <v>0.18</v>
      </c>
      <c r="Q260" s="2">
        <v>0</v>
      </c>
      <c r="R260" s="2">
        <v>0.02</v>
      </c>
      <c r="S260">
        <f t="shared" si="4"/>
        <v>0.4</v>
      </c>
    </row>
    <row r="261" spans="1:19" x14ac:dyDescent="0.2">
      <c r="A261">
        <v>18</v>
      </c>
      <c r="B261" t="s">
        <v>24</v>
      </c>
      <c r="C261">
        <v>5</v>
      </c>
      <c r="D261" t="s">
        <v>15</v>
      </c>
      <c r="E261" t="s">
        <v>25</v>
      </c>
      <c r="F261" t="s">
        <v>17</v>
      </c>
      <c r="G261" t="s">
        <v>17</v>
      </c>
      <c r="H261" t="s">
        <v>17</v>
      </c>
      <c r="I261">
        <v>10</v>
      </c>
      <c r="J261" s="4">
        <v>8.9</v>
      </c>
      <c r="K261">
        <v>7.05</v>
      </c>
      <c r="L261">
        <v>0.32027057799999997</v>
      </c>
      <c r="M261">
        <v>23.6</v>
      </c>
      <c r="N261" s="4">
        <v>1.6</v>
      </c>
      <c r="O261" s="2">
        <v>0.27</v>
      </c>
      <c r="P261" s="2">
        <v>0.2</v>
      </c>
      <c r="Q261" s="2">
        <v>0</v>
      </c>
      <c r="R261" s="2">
        <v>0.02</v>
      </c>
      <c r="S261">
        <f t="shared" si="4"/>
        <v>0.49000000000000005</v>
      </c>
    </row>
    <row r="262" spans="1:19" x14ac:dyDescent="0.2">
      <c r="A262">
        <v>18</v>
      </c>
      <c r="B262" t="s">
        <v>26</v>
      </c>
      <c r="C262">
        <v>6</v>
      </c>
      <c r="D262" t="s">
        <v>15</v>
      </c>
      <c r="E262" t="s">
        <v>27</v>
      </c>
      <c r="F262">
        <v>1.4484854330000001</v>
      </c>
      <c r="G262" s="1">
        <v>1.7100000000000001E-8</v>
      </c>
      <c r="H262" s="1">
        <v>2.37E-5</v>
      </c>
      <c r="I262">
        <v>10</v>
      </c>
      <c r="J262" s="4">
        <v>8.4499999999999993</v>
      </c>
      <c r="K262">
        <v>6.95</v>
      </c>
      <c r="L262">
        <v>0.32204687999999998</v>
      </c>
      <c r="M262">
        <v>22.3</v>
      </c>
      <c r="N262" s="4">
        <v>1.4</v>
      </c>
      <c r="O262" s="2">
        <v>0.38</v>
      </c>
      <c r="P262" s="2">
        <v>0.25</v>
      </c>
      <c r="Q262" s="2">
        <v>0</v>
      </c>
      <c r="R262" s="2">
        <v>0.01</v>
      </c>
      <c r="S262">
        <f t="shared" si="4"/>
        <v>0.64</v>
      </c>
    </row>
    <row r="263" spans="1:19" x14ac:dyDescent="0.2">
      <c r="A263">
        <v>18</v>
      </c>
      <c r="B263" t="s">
        <v>28</v>
      </c>
      <c r="C263">
        <v>7</v>
      </c>
      <c r="D263" t="s">
        <v>15</v>
      </c>
      <c r="E263" t="s">
        <v>29</v>
      </c>
      <c r="F263" t="s">
        <v>17</v>
      </c>
      <c r="G263" t="s">
        <v>17</v>
      </c>
      <c r="H263" t="s">
        <v>17</v>
      </c>
      <c r="I263">
        <v>10</v>
      </c>
      <c r="J263" s="4">
        <v>8.9499999999999993</v>
      </c>
      <c r="K263">
        <v>6.95</v>
      </c>
      <c r="L263">
        <v>0.32691598700000002</v>
      </c>
      <c r="M263">
        <v>23.1</v>
      </c>
      <c r="N263" s="4">
        <v>1.4</v>
      </c>
      <c r="O263" s="2">
        <v>0.42</v>
      </c>
      <c r="P263" s="2">
        <v>0.25</v>
      </c>
      <c r="Q263" s="2">
        <v>0</v>
      </c>
      <c r="R263" s="2">
        <v>0.01</v>
      </c>
      <c r="S263">
        <f t="shared" si="4"/>
        <v>0.67999999999999994</v>
      </c>
    </row>
    <row r="264" spans="1:19" x14ac:dyDescent="0.2">
      <c r="A264">
        <v>18</v>
      </c>
      <c r="B264" t="s">
        <v>30</v>
      </c>
      <c r="C264">
        <v>8</v>
      </c>
      <c r="D264" t="s">
        <v>15</v>
      </c>
      <c r="E264" t="s">
        <v>29</v>
      </c>
      <c r="F264" t="s">
        <v>17</v>
      </c>
      <c r="G264" t="s">
        <v>17</v>
      </c>
      <c r="H264" t="s">
        <v>17</v>
      </c>
      <c r="I264">
        <v>10</v>
      </c>
      <c r="J264" s="4">
        <v>9.25</v>
      </c>
      <c r="K264">
        <v>6.75</v>
      </c>
      <c r="L264">
        <v>0.336507369</v>
      </c>
      <c r="M264">
        <v>24.9</v>
      </c>
      <c r="N264" s="4">
        <v>1.6</v>
      </c>
      <c r="O264" s="2">
        <v>0.62</v>
      </c>
      <c r="P264" s="2">
        <v>0.27</v>
      </c>
      <c r="Q264" s="2">
        <v>0</v>
      </c>
      <c r="R264" s="2">
        <v>0.01</v>
      </c>
      <c r="S264">
        <f t="shared" si="4"/>
        <v>0.9</v>
      </c>
    </row>
    <row r="265" spans="1:19" x14ac:dyDescent="0.2">
      <c r="A265">
        <v>18</v>
      </c>
      <c r="B265" t="s">
        <v>31</v>
      </c>
      <c r="C265">
        <v>9</v>
      </c>
      <c r="D265" t="s">
        <v>15</v>
      </c>
      <c r="E265" t="s">
        <v>29</v>
      </c>
      <c r="F265">
        <v>2.2046352210000002</v>
      </c>
      <c r="G265" s="1">
        <v>2.7000000000000002E-9</v>
      </c>
      <c r="H265" s="1">
        <v>3.7500000000000001E-6</v>
      </c>
      <c r="I265">
        <v>10</v>
      </c>
      <c r="J265" s="4">
        <v>8.85</v>
      </c>
      <c r="K265">
        <v>6.95</v>
      </c>
      <c r="L265">
        <v>0.353258772</v>
      </c>
      <c r="M265">
        <v>26.3</v>
      </c>
      <c r="N265" s="4">
        <v>1.6</v>
      </c>
      <c r="O265" s="2">
        <v>0.7</v>
      </c>
      <c r="P265" s="2">
        <v>0.25</v>
      </c>
      <c r="Q265" s="2">
        <v>0</v>
      </c>
      <c r="R265" s="2">
        <v>0.01</v>
      </c>
      <c r="S265">
        <f t="shared" si="4"/>
        <v>0.96</v>
      </c>
    </row>
    <row r="266" spans="1:19" x14ac:dyDescent="0.2">
      <c r="A266">
        <v>18</v>
      </c>
      <c r="B266" t="s">
        <v>34</v>
      </c>
      <c r="C266">
        <v>10</v>
      </c>
      <c r="D266" t="s">
        <v>15</v>
      </c>
      <c r="E266" t="s">
        <v>33</v>
      </c>
      <c r="F266" t="s">
        <v>17</v>
      </c>
      <c r="G266" t="s">
        <v>17</v>
      </c>
      <c r="H266" t="s">
        <v>17</v>
      </c>
      <c r="I266">
        <v>10</v>
      </c>
      <c r="J266" s="4">
        <v>9.5</v>
      </c>
      <c r="K266">
        <v>6.6</v>
      </c>
      <c r="L266">
        <v>0.36312430000000001</v>
      </c>
      <c r="M266">
        <v>27.8</v>
      </c>
      <c r="N266" s="4">
        <v>1.6</v>
      </c>
      <c r="O266" s="2">
        <v>0.78</v>
      </c>
      <c r="P266" s="2">
        <v>0.1</v>
      </c>
      <c r="Q266" s="2">
        <v>0</v>
      </c>
      <c r="R266" s="2">
        <v>0.01</v>
      </c>
      <c r="S266">
        <f t="shared" si="4"/>
        <v>0.89</v>
      </c>
    </row>
    <row r="267" spans="1:19" x14ac:dyDescent="0.2">
      <c r="A267">
        <v>18</v>
      </c>
      <c r="B267" t="s">
        <v>35</v>
      </c>
      <c r="C267">
        <v>11</v>
      </c>
      <c r="D267" t="s">
        <v>15</v>
      </c>
      <c r="E267" t="s">
        <v>33</v>
      </c>
      <c r="F267">
        <v>3.009630826</v>
      </c>
      <c r="G267" s="1">
        <v>5.2800000000000004E-10</v>
      </c>
      <c r="H267" s="1">
        <v>7.3200000000000004E-7</v>
      </c>
      <c r="I267">
        <v>10</v>
      </c>
      <c r="J267" s="4">
        <v>9.65</v>
      </c>
      <c r="K267">
        <v>6.8</v>
      </c>
      <c r="L267">
        <v>0.37643837600000002</v>
      </c>
      <c r="M267">
        <v>28.9</v>
      </c>
      <c r="N267" s="4">
        <v>1.6</v>
      </c>
      <c r="O267" s="2">
        <v>0.78</v>
      </c>
      <c r="P267" s="2">
        <v>0.1</v>
      </c>
      <c r="Q267" s="2">
        <v>0</v>
      </c>
      <c r="R267" s="2">
        <v>0.01</v>
      </c>
      <c r="S267">
        <f t="shared" si="4"/>
        <v>0.89</v>
      </c>
    </row>
    <row r="268" spans="1:19" x14ac:dyDescent="0.2">
      <c r="A268">
        <v>18</v>
      </c>
      <c r="B268" t="s">
        <v>36</v>
      </c>
      <c r="C268">
        <v>12</v>
      </c>
      <c r="D268" t="s">
        <v>15</v>
      </c>
      <c r="E268" t="s">
        <v>37</v>
      </c>
      <c r="F268" t="s">
        <v>17</v>
      </c>
      <c r="G268" t="s">
        <v>17</v>
      </c>
      <c r="H268" t="s">
        <v>17</v>
      </c>
      <c r="I268">
        <v>10</v>
      </c>
      <c r="J268" s="4">
        <v>7.5</v>
      </c>
      <c r="K268">
        <v>7.15</v>
      </c>
      <c r="L268">
        <v>0.38431981799999998</v>
      </c>
      <c r="M268">
        <v>30.9</v>
      </c>
      <c r="N268" s="4">
        <v>1.4</v>
      </c>
      <c r="O268" s="2">
        <v>0.85</v>
      </c>
      <c r="P268" s="2">
        <v>0.1</v>
      </c>
      <c r="Q268" s="2">
        <v>0</v>
      </c>
      <c r="R268" s="2">
        <v>0.01</v>
      </c>
      <c r="S268">
        <f t="shared" si="4"/>
        <v>0.96</v>
      </c>
    </row>
    <row r="269" spans="1:19" x14ac:dyDescent="0.2">
      <c r="A269">
        <v>18</v>
      </c>
      <c r="B269" t="s">
        <v>38</v>
      </c>
      <c r="C269">
        <v>13</v>
      </c>
      <c r="D269" t="s">
        <v>15</v>
      </c>
      <c r="E269" t="s">
        <v>37</v>
      </c>
      <c r="F269">
        <v>1.6575614270000001</v>
      </c>
      <c r="G269" s="1">
        <v>-1.14E-8</v>
      </c>
      <c r="H269" s="1">
        <v>-1.5800000000000001E-5</v>
      </c>
      <c r="I269">
        <v>2.5</v>
      </c>
      <c r="J269" s="4">
        <v>6.85</v>
      </c>
      <c r="K269">
        <v>7.25</v>
      </c>
      <c r="L269">
        <v>0.38479963099999998</v>
      </c>
      <c r="M269">
        <v>34.6</v>
      </c>
      <c r="N269" s="4">
        <v>1</v>
      </c>
      <c r="O269" s="2">
        <v>0.9</v>
      </c>
      <c r="P269" s="2">
        <v>0.12</v>
      </c>
      <c r="Q269" s="2">
        <v>0</v>
      </c>
      <c r="R269" s="2">
        <v>0.01</v>
      </c>
      <c r="S269">
        <f t="shared" si="4"/>
        <v>1.03</v>
      </c>
    </row>
    <row r="270" spans="1:19" x14ac:dyDescent="0.2">
      <c r="A270">
        <v>18</v>
      </c>
      <c r="B270" t="s">
        <v>39</v>
      </c>
      <c r="C270">
        <v>14</v>
      </c>
      <c r="D270" t="s">
        <v>15</v>
      </c>
      <c r="E270" t="s">
        <v>37</v>
      </c>
      <c r="F270" t="s">
        <v>17</v>
      </c>
      <c r="G270" t="s">
        <v>17</v>
      </c>
      <c r="H270" t="s">
        <v>17</v>
      </c>
      <c r="I270">
        <v>0.5</v>
      </c>
      <c r="J270" s="4">
        <v>7.45</v>
      </c>
      <c r="K270">
        <v>7.25</v>
      </c>
      <c r="L270">
        <v>0.38177798099999999</v>
      </c>
      <c r="M270">
        <v>36.5</v>
      </c>
      <c r="N270" s="4">
        <v>1</v>
      </c>
      <c r="O270" s="2">
        <v>0.9</v>
      </c>
      <c r="P270" s="2">
        <v>0.1</v>
      </c>
      <c r="Q270" s="2">
        <v>0</v>
      </c>
      <c r="R270" s="2">
        <v>0.01</v>
      </c>
      <c r="S270">
        <f t="shared" si="4"/>
        <v>1.01</v>
      </c>
    </row>
    <row r="271" spans="1:19" x14ac:dyDescent="0.2">
      <c r="A271">
        <v>18</v>
      </c>
      <c r="B271" t="s">
        <v>40</v>
      </c>
      <c r="C271">
        <v>15</v>
      </c>
      <c r="D271" t="s">
        <v>15</v>
      </c>
      <c r="E271" t="s">
        <v>37</v>
      </c>
      <c r="F271">
        <v>0.99534978600000001</v>
      </c>
      <c r="G271" s="1">
        <v>8.7000000000000001E-9</v>
      </c>
      <c r="H271" s="1">
        <v>1.2099999999999999E-5</v>
      </c>
      <c r="I271">
        <v>-1.5</v>
      </c>
      <c r="J271" s="4">
        <v>4.95</v>
      </c>
      <c r="K271">
        <v>7.05</v>
      </c>
      <c r="L271">
        <v>0.36890581</v>
      </c>
      <c r="M271">
        <v>36.700000000000003</v>
      </c>
      <c r="N271" s="4" t="s">
        <v>17</v>
      </c>
      <c r="O271" s="2">
        <v>0.9</v>
      </c>
      <c r="P271" s="2">
        <v>0.08</v>
      </c>
      <c r="Q271" s="2">
        <v>0</v>
      </c>
      <c r="R271" s="2">
        <v>0.01</v>
      </c>
      <c r="S271">
        <f t="shared" si="4"/>
        <v>0.99</v>
      </c>
    </row>
    <row r="272" spans="1:19" x14ac:dyDescent="0.2">
      <c r="A272">
        <v>19</v>
      </c>
      <c r="B272" t="s">
        <v>14</v>
      </c>
      <c r="C272">
        <v>1</v>
      </c>
      <c r="D272" t="s">
        <v>18</v>
      </c>
      <c r="E272" t="s">
        <v>16</v>
      </c>
      <c r="F272" t="s">
        <v>17</v>
      </c>
      <c r="G272" t="s">
        <v>17</v>
      </c>
      <c r="H272" t="s">
        <v>17</v>
      </c>
      <c r="I272">
        <v>10</v>
      </c>
      <c r="J272" s="4">
        <v>5.05</v>
      </c>
      <c r="K272">
        <v>7.7</v>
      </c>
      <c r="L272">
        <v>0.30568519799999999</v>
      </c>
      <c r="M272" s="4" t="s">
        <v>17</v>
      </c>
      <c r="N272" s="4">
        <v>1.6</v>
      </c>
      <c r="O272" s="2">
        <v>0.05</v>
      </c>
      <c r="P272" s="2">
        <v>0.02</v>
      </c>
      <c r="Q272" s="2">
        <v>0</v>
      </c>
      <c r="R272" s="2">
        <v>0.04</v>
      </c>
      <c r="S272">
        <f t="shared" si="4"/>
        <v>0.11000000000000001</v>
      </c>
    </row>
    <row r="273" spans="1:19" x14ac:dyDescent="0.2">
      <c r="A273">
        <v>19</v>
      </c>
      <c r="B273" t="s">
        <v>20</v>
      </c>
      <c r="C273">
        <v>2</v>
      </c>
      <c r="D273" t="s">
        <v>18</v>
      </c>
      <c r="E273" t="s">
        <v>16</v>
      </c>
      <c r="F273" t="s">
        <v>17</v>
      </c>
      <c r="G273" t="s">
        <v>17</v>
      </c>
      <c r="H273" t="s">
        <v>17</v>
      </c>
      <c r="I273">
        <v>10</v>
      </c>
      <c r="J273" s="4">
        <v>5.8</v>
      </c>
      <c r="K273">
        <v>7.5</v>
      </c>
      <c r="L273">
        <v>0.30993407899999997</v>
      </c>
      <c r="M273" s="4" t="s">
        <v>17</v>
      </c>
      <c r="N273" s="4">
        <v>1.2</v>
      </c>
      <c r="O273" s="2">
        <v>0.08</v>
      </c>
      <c r="P273" s="2">
        <v>0.03</v>
      </c>
      <c r="Q273" s="2">
        <v>0.02</v>
      </c>
      <c r="R273" s="2">
        <v>0.05</v>
      </c>
      <c r="S273">
        <f t="shared" si="4"/>
        <v>0.18</v>
      </c>
    </row>
    <row r="274" spans="1:19" x14ac:dyDescent="0.2">
      <c r="A274">
        <v>19</v>
      </c>
      <c r="B274" t="s">
        <v>21</v>
      </c>
      <c r="C274">
        <v>3</v>
      </c>
      <c r="D274" t="s">
        <v>18</v>
      </c>
      <c r="E274" t="s">
        <v>22</v>
      </c>
      <c r="F274" t="s">
        <v>17</v>
      </c>
      <c r="G274" t="s">
        <v>17</v>
      </c>
      <c r="H274" t="s">
        <v>17</v>
      </c>
      <c r="I274">
        <v>10</v>
      </c>
      <c r="J274" s="4">
        <v>6</v>
      </c>
      <c r="K274">
        <v>7.5</v>
      </c>
      <c r="L274">
        <v>0.31118331599999999</v>
      </c>
      <c r="M274" s="4" t="s">
        <v>17</v>
      </c>
      <c r="N274" s="4">
        <v>1.6</v>
      </c>
      <c r="O274" s="2">
        <v>0.11</v>
      </c>
      <c r="P274" s="2">
        <v>0.06</v>
      </c>
      <c r="Q274" s="2">
        <v>0.05</v>
      </c>
      <c r="R274" s="2">
        <v>0.05</v>
      </c>
      <c r="S274">
        <f t="shared" si="4"/>
        <v>0.26999999999999996</v>
      </c>
    </row>
    <row r="275" spans="1:19" x14ac:dyDescent="0.2">
      <c r="A275">
        <v>19</v>
      </c>
      <c r="B275" t="s">
        <v>23</v>
      </c>
      <c r="C275">
        <v>4</v>
      </c>
      <c r="D275" t="s">
        <v>18</v>
      </c>
      <c r="E275" t="s">
        <v>22</v>
      </c>
      <c r="F275" t="s">
        <v>17</v>
      </c>
      <c r="G275" t="s">
        <v>17</v>
      </c>
      <c r="H275" t="s">
        <v>17</v>
      </c>
      <c r="I275">
        <v>10</v>
      </c>
      <c r="J275" s="4">
        <v>6.75</v>
      </c>
      <c r="K275">
        <v>7.25</v>
      </c>
      <c r="L275">
        <v>0.31293594600000002</v>
      </c>
      <c r="M275">
        <v>9.1999999999999993</v>
      </c>
      <c r="N275" s="4">
        <v>1.6</v>
      </c>
      <c r="O275" s="2">
        <v>0.12</v>
      </c>
      <c r="P275" s="2">
        <v>0.08</v>
      </c>
      <c r="Q275" s="2">
        <v>7.0000000000000007E-2</v>
      </c>
      <c r="R275" s="2">
        <v>0.04</v>
      </c>
      <c r="S275">
        <f t="shared" si="4"/>
        <v>0.31</v>
      </c>
    </row>
    <row r="276" spans="1:19" x14ac:dyDescent="0.2">
      <c r="A276">
        <v>19</v>
      </c>
      <c r="B276" t="s">
        <v>24</v>
      </c>
      <c r="C276">
        <v>5</v>
      </c>
      <c r="D276" t="s">
        <v>18</v>
      </c>
      <c r="E276" t="s">
        <v>25</v>
      </c>
      <c r="F276">
        <v>1.0345485160000001</v>
      </c>
      <c r="G276" s="1">
        <v>-7.4299999999999997E-8</v>
      </c>
      <c r="H276" s="1">
        <v>-1.03E-4</v>
      </c>
      <c r="I276">
        <v>16</v>
      </c>
      <c r="J276" s="4">
        <v>8.35</v>
      </c>
      <c r="K276">
        <v>7.1</v>
      </c>
      <c r="L276">
        <v>0.31631485599999998</v>
      </c>
      <c r="M276">
        <v>43.8</v>
      </c>
      <c r="N276" s="4">
        <v>1.4</v>
      </c>
      <c r="O276" s="2">
        <v>0.18</v>
      </c>
      <c r="P276" s="2">
        <v>0.1</v>
      </c>
      <c r="Q276" s="2">
        <v>0.1</v>
      </c>
      <c r="R276" s="2">
        <v>0.02</v>
      </c>
      <c r="S276">
        <f t="shared" si="4"/>
        <v>0.4</v>
      </c>
    </row>
    <row r="277" spans="1:19" x14ac:dyDescent="0.2">
      <c r="A277">
        <v>19</v>
      </c>
      <c r="B277" t="s">
        <v>26</v>
      </c>
      <c r="C277">
        <v>6</v>
      </c>
      <c r="D277" t="s">
        <v>18</v>
      </c>
      <c r="E277" t="s">
        <v>27</v>
      </c>
      <c r="F277">
        <v>2.125364002</v>
      </c>
      <c r="G277" s="1">
        <v>-4.7600000000000003E-8</v>
      </c>
      <c r="H277" s="1">
        <v>-6.5900000000000003E-5</v>
      </c>
      <c r="I277">
        <v>16</v>
      </c>
      <c r="J277" s="4">
        <v>7.75</v>
      </c>
      <c r="K277">
        <v>6.95</v>
      </c>
      <c r="L277">
        <v>0.32316120100000001</v>
      </c>
      <c r="M277">
        <v>46.6</v>
      </c>
      <c r="N277" s="4">
        <v>1.4</v>
      </c>
      <c r="O277" s="2">
        <v>0.22</v>
      </c>
      <c r="P277" s="2">
        <v>0.18</v>
      </c>
      <c r="Q277" s="2">
        <v>0.13</v>
      </c>
      <c r="R277" s="2">
        <v>0.03</v>
      </c>
      <c r="S277">
        <f t="shared" si="4"/>
        <v>0.56000000000000005</v>
      </c>
    </row>
    <row r="278" spans="1:19" x14ac:dyDescent="0.2">
      <c r="A278">
        <v>19</v>
      </c>
      <c r="B278" t="s">
        <v>28</v>
      </c>
      <c r="C278">
        <v>7</v>
      </c>
      <c r="D278" t="s">
        <v>18</v>
      </c>
      <c r="E278" t="s">
        <v>29</v>
      </c>
      <c r="F278" t="s">
        <v>17</v>
      </c>
      <c r="G278" t="s">
        <v>17</v>
      </c>
      <c r="H278" t="s">
        <v>17</v>
      </c>
      <c r="I278">
        <v>6.625</v>
      </c>
      <c r="J278" s="4">
        <v>9.85</v>
      </c>
      <c r="K278">
        <v>6.8</v>
      </c>
      <c r="L278">
        <v>0.32720166299999998</v>
      </c>
      <c r="M278">
        <v>56</v>
      </c>
      <c r="N278" s="4">
        <v>1</v>
      </c>
      <c r="O278" s="2">
        <v>0.22</v>
      </c>
      <c r="P278" s="2">
        <v>0.25</v>
      </c>
      <c r="Q278" s="2">
        <v>0.15</v>
      </c>
      <c r="R278" s="2">
        <v>0.02</v>
      </c>
      <c r="S278">
        <f t="shared" si="4"/>
        <v>0.64</v>
      </c>
    </row>
    <row r="279" spans="1:19" x14ac:dyDescent="0.2">
      <c r="A279">
        <v>19</v>
      </c>
      <c r="B279" t="s">
        <v>30</v>
      </c>
      <c r="C279">
        <v>8</v>
      </c>
      <c r="D279" t="s">
        <v>18</v>
      </c>
      <c r="E279" t="s">
        <v>29</v>
      </c>
      <c r="F279" t="s">
        <v>17</v>
      </c>
      <c r="G279" t="s">
        <v>17</v>
      </c>
      <c r="H279" t="s">
        <v>17</v>
      </c>
      <c r="I279">
        <v>6.625</v>
      </c>
      <c r="J279" s="4">
        <v>8.4499999999999993</v>
      </c>
      <c r="K279">
        <v>7.15</v>
      </c>
      <c r="L279">
        <v>0.32348139199999998</v>
      </c>
      <c r="M279">
        <v>57.8</v>
      </c>
      <c r="N279" s="4">
        <v>1.8</v>
      </c>
      <c r="O279" s="2">
        <v>0.22</v>
      </c>
      <c r="P279" s="2">
        <v>0.25</v>
      </c>
      <c r="Q279" s="2">
        <v>0.15</v>
      </c>
      <c r="R279" s="2">
        <v>0.02</v>
      </c>
      <c r="S279">
        <f t="shared" si="4"/>
        <v>0.64</v>
      </c>
    </row>
    <row r="280" spans="1:19" x14ac:dyDescent="0.2">
      <c r="A280">
        <v>19</v>
      </c>
      <c r="B280" t="s">
        <v>31</v>
      </c>
      <c r="C280">
        <v>9</v>
      </c>
      <c r="D280" t="s">
        <v>18</v>
      </c>
      <c r="E280" t="s">
        <v>29</v>
      </c>
      <c r="F280">
        <v>1.2166222419999999</v>
      </c>
      <c r="G280" s="1">
        <v>-6.3899999999999996E-8</v>
      </c>
      <c r="H280" s="1">
        <v>-8.8599999999999999E-5</v>
      </c>
      <c r="I280">
        <v>4.75</v>
      </c>
      <c r="J280" s="4">
        <v>9.4499999999999993</v>
      </c>
      <c r="K280">
        <v>7.05</v>
      </c>
      <c r="L280">
        <v>0.32334017799999998</v>
      </c>
      <c r="M280">
        <v>58.2</v>
      </c>
      <c r="N280" s="4">
        <v>0.8</v>
      </c>
      <c r="O280" s="2">
        <v>0.22</v>
      </c>
      <c r="P280" s="2">
        <v>0.27</v>
      </c>
      <c r="Q280" s="2">
        <v>0.16</v>
      </c>
      <c r="R280" s="2">
        <v>0.02</v>
      </c>
      <c r="S280">
        <f t="shared" si="4"/>
        <v>0.67</v>
      </c>
    </row>
    <row r="281" spans="1:19" x14ac:dyDescent="0.2">
      <c r="A281">
        <v>19</v>
      </c>
      <c r="B281" t="s">
        <v>32</v>
      </c>
      <c r="C281">
        <v>10</v>
      </c>
      <c r="D281" t="s">
        <v>18</v>
      </c>
      <c r="E281" t="s">
        <v>33</v>
      </c>
      <c r="F281" t="s">
        <v>17</v>
      </c>
      <c r="G281" t="s">
        <v>17</v>
      </c>
      <c r="H281" t="s">
        <v>17</v>
      </c>
      <c r="I281">
        <v>2.5</v>
      </c>
      <c r="J281" s="4">
        <v>8.6</v>
      </c>
      <c r="K281">
        <v>6.9</v>
      </c>
      <c r="L281">
        <v>0.31803192000000002</v>
      </c>
      <c r="M281">
        <v>57.1</v>
      </c>
      <c r="N281" s="4">
        <v>1.2</v>
      </c>
      <c r="O281" s="2">
        <v>0.22</v>
      </c>
      <c r="P281" s="2">
        <v>0.27</v>
      </c>
      <c r="Q281" s="2">
        <v>0.16</v>
      </c>
      <c r="R281" s="2">
        <v>0.02</v>
      </c>
      <c r="S281">
        <f t="shared" si="4"/>
        <v>0.67</v>
      </c>
    </row>
    <row r="282" spans="1:19" x14ac:dyDescent="0.2">
      <c r="A282">
        <v>19</v>
      </c>
      <c r="B282" t="s">
        <v>35</v>
      </c>
      <c r="C282">
        <v>11</v>
      </c>
      <c r="D282" t="s">
        <v>18</v>
      </c>
      <c r="E282" t="s">
        <v>33</v>
      </c>
      <c r="F282">
        <v>1.2166553229999999</v>
      </c>
      <c r="G282" s="1">
        <v>4.6999999999999997E-8</v>
      </c>
      <c r="H282" s="1">
        <v>6.5099999999999997E-5</v>
      </c>
      <c r="I282">
        <v>0.5</v>
      </c>
      <c r="J282" s="4">
        <v>9.3000000000000007</v>
      </c>
      <c r="K282">
        <v>7.05</v>
      </c>
      <c r="L282">
        <v>0.31904926700000003</v>
      </c>
      <c r="M282">
        <v>57.3</v>
      </c>
      <c r="N282" s="4">
        <v>1.2</v>
      </c>
      <c r="O282" s="2">
        <v>0.25</v>
      </c>
      <c r="P282" s="2">
        <v>0.27</v>
      </c>
      <c r="Q282" s="2">
        <v>0.16</v>
      </c>
      <c r="R282" s="2">
        <v>0.02</v>
      </c>
      <c r="S282">
        <f t="shared" si="4"/>
        <v>0.70000000000000007</v>
      </c>
    </row>
    <row r="283" spans="1:19" x14ac:dyDescent="0.2">
      <c r="A283">
        <v>19</v>
      </c>
      <c r="B283" t="s">
        <v>36</v>
      </c>
      <c r="C283">
        <v>12</v>
      </c>
      <c r="D283" t="s">
        <v>18</v>
      </c>
      <c r="E283" t="s">
        <v>37</v>
      </c>
      <c r="F283" t="s">
        <v>17</v>
      </c>
      <c r="G283" t="s">
        <v>17</v>
      </c>
      <c r="H283" t="s">
        <v>17</v>
      </c>
      <c r="I283">
        <v>-1.5</v>
      </c>
      <c r="J283" s="4">
        <v>8.9499999999999993</v>
      </c>
      <c r="K283">
        <v>7.25</v>
      </c>
      <c r="L283">
        <v>0.31680581400000002</v>
      </c>
      <c r="M283">
        <v>58.6</v>
      </c>
      <c r="N283" s="4">
        <v>13.4</v>
      </c>
      <c r="O283" s="2">
        <v>0.3</v>
      </c>
      <c r="P283" s="2">
        <v>0.27</v>
      </c>
      <c r="Q283" s="2">
        <v>0.16</v>
      </c>
      <c r="R283" s="2">
        <v>0.02</v>
      </c>
      <c r="S283">
        <f t="shared" si="4"/>
        <v>0.75000000000000011</v>
      </c>
    </row>
    <row r="284" spans="1:19" x14ac:dyDescent="0.2">
      <c r="A284">
        <v>19</v>
      </c>
      <c r="B284" t="s">
        <v>38</v>
      </c>
      <c r="C284">
        <v>13</v>
      </c>
      <c r="D284" t="s">
        <v>18</v>
      </c>
      <c r="E284" t="s">
        <v>37</v>
      </c>
      <c r="F284" t="s">
        <v>17</v>
      </c>
      <c r="G284" t="s">
        <v>17</v>
      </c>
      <c r="H284" t="s">
        <v>17</v>
      </c>
      <c r="I284" t="s">
        <v>17</v>
      </c>
      <c r="J284" s="4" t="s">
        <v>17</v>
      </c>
      <c r="K284" t="s">
        <v>17</v>
      </c>
      <c r="L284" t="s">
        <v>17</v>
      </c>
      <c r="M284" t="s">
        <v>17</v>
      </c>
      <c r="N284" s="4" t="s">
        <v>17</v>
      </c>
      <c r="O284" t="s">
        <v>17</v>
      </c>
      <c r="P284" t="s">
        <v>17</v>
      </c>
      <c r="Q284" t="s">
        <v>17</v>
      </c>
      <c r="R284" t="s">
        <v>17</v>
      </c>
      <c r="S284" t="s">
        <v>17</v>
      </c>
    </row>
    <row r="285" spans="1:19" x14ac:dyDescent="0.2">
      <c r="A285">
        <v>19</v>
      </c>
      <c r="B285" t="s">
        <v>39</v>
      </c>
      <c r="C285">
        <v>14</v>
      </c>
      <c r="D285" t="s">
        <v>18</v>
      </c>
      <c r="E285" t="s">
        <v>37</v>
      </c>
      <c r="F285" t="s">
        <v>17</v>
      </c>
      <c r="G285" t="s">
        <v>17</v>
      </c>
      <c r="H285" t="s">
        <v>17</v>
      </c>
      <c r="I285" t="s">
        <v>17</v>
      </c>
      <c r="J285" s="4" t="s">
        <v>17</v>
      </c>
      <c r="K285" t="s">
        <v>17</v>
      </c>
      <c r="L285" t="s">
        <v>17</v>
      </c>
      <c r="M285" t="s">
        <v>17</v>
      </c>
      <c r="N285" s="4" t="s">
        <v>17</v>
      </c>
      <c r="O285" t="s">
        <v>17</v>
      </c>
      <c r="P285" t="s">
        <v>17</v>
      </c>
      <c r="Q285" t="s">
        <v>17</v>
      </c>
      <c r="R285" t="s">
        <v>17</v>
      </c>
      <c r="S285" t="s">
        <v>17</v>
      </c>
    </row>
    <row r="286" spans="1:19" x14ac:dyDescent="0.2">
      <c r="A286">
        <v>19</v>
      </c>
      <c r="B286" t="s">
        <v>40</v>
      </c>
      <c r="C286">
        <v>15</v>
      </c>
      <c r="D286" t="s">
        <v>18</v>
      </c>
      <c r="E286" t="s">
        <v>37</v>
      </c>
      <c r="F286" t="s">
        <v>17</v>
      </c>
      <c r="G286" t="s">
        <v>17</v>
      </c>
      <c r="H286" t="s">
        <v>17</v>
      </c>
      <c r="I286" t="s">
        <v>17</v>
      </c>
      <c r="J286" s="4" t="s">
        <v>17</v>
      </c>
      <c r="K286" t="s">
        <v>17</v>
      </c>
      <c r="L286" t="s">
        <v>17</v>
      </c>
      <c r="M286" t="s">
        <v>17</v>
      </c>
      <c r="N286" s="4" t="s">
        <v>17</v>
      </c>
      <c r="O286" t="s">
        <v>17</v>
      </c>
      <c r="P286" t="s">
        <v>17</v>
      </c>
      <c r="Q286" t="s">
        <v>17</v>
      </c>
      <c r="R286" t="s">
        <v>17</v>
      </c>
      <c r="S286" t="s">
        <v>17</v>
      </c>
    </row>
    <row r="287" spans="1:19" x14ac:dyDescent="0.2">
      <c r="A287">
        <v>20</v>
      </c>
      <c r="B287" t="s">
        <v>14</v>
      </c>
      <c r="C287">
        <v>1</v>
      </c>
      <c r="D287" t="s">
        <v>19</v>
      </c>
      <c r="E287" t="s">
        <v>16</v>
      </c>
      <c r="F287" t="s">
        <v>17</v>
      </c>
      <c r="G287" t="s">
        <v>17</v>
      </c>
      <c r="H287" t="s">
        <v>17</v>
      </c>
      <c r="I287">
        <v>10</v>
      </c>
      <c r="J287" s="4">
        <v>5.05</v>
      </c>
      <c r="K287">
        <v>7.5</v>
      </c>
      <c r="L287">
        <v>0.30665917199999998</v>
      </c>
      <c r="M287" s="4" t="s">
        <v>17</v>
      </c>
      <c r="N287" s="4">
        <v>1.8</v>
      </c>
      <c r="O287" s="2">
        <v>0.08</v>
      </c>
      <c r="P287" s="2">
        <v>0.01</v>
      </c>
      <c r="Q287" s="2">
        <v>0</v>
      </c>
      <c r="R287" s="2">
        <v>0.08</v>
      </c>
      <c r="S287">
        <f t="shared" si="4"/>
        <v>0.16999999999999998</v>
      </c>
    </row>
    <row r="288" spans="1:19" x14ac:dyDescent="0.2">
      <c r="A288">
        <v>20</v>
      </c>
      <c r="B288" t="s">
        <v>20</v>
      </c>
      <c r="C288">
        <v>2</v>
      </c>
      <c r="D288" t="s">
        <v>19</v>
      </c>
      <c r="E288" t="s">
        <v>16</v>
      </c>
      <c r="F288" t="s">
        <v>17</v>
      </c>
      <c r="G288" t="s">
        <v>17</v>
      </c>
      <c r="H288" t="s">
        <v>17</v>
      </c>
      <c r="I288">
        <v>10</v>
      </c>
      <c r="J288" s="4">
        <v>5.9</v>
      </c>
      <c r="K288">
        <v>7.35</v>
      </c>
      <c r="L288">
        <v>0.31485478300000003</v>
      </c>
      <c r="M288" s="4" t="s">
        <v>17</v>
      </c>
      <c r="N288" s="4">
        <v>1.4</v>
      </c>
      <c r="O288" s="2">
        <v>0.12</v>
      </c>
      <c r="P288" s="2">
        <v>0.05</v>
      </c>
      <c r="Q288" s="2">
        <v>0.01</v>
      </c>
      <c r="R288" s="2">
        <v>0.1</v>
      </c>
      <c r="S288">
        <f t="shared" si="4"/>
        <v>0.28000000000000003</v>
      </c>
    </row>
    <row r="289" spans="1:19" x14ac:dyDescent="0.2">
      <c r="A289">
        <v>20</v>
      </c>
      <c r="B289" t="s">
        <v>21</v>
      </c>
      <c r="C289">
        <v>3</v>
      </c>
      <c r="D289" t="s">
        <v>19</v>
      </c>
      <c r="E289" t="s">
        <v>22</v>
      </c>
      <c r="F289" t="s">
        <v>17</v>
      </c>
      <c r="G289" t="s">
        <v>17</v>
      </c>
      <c r="H289" t="s">
        <v>17</v>
      </c>
      <c r="I289">
        <v>10</v>
      </c>
      <c r="J289" s="4">
        <v>6.6</v>
      </c>
      <c r="K289">
        <v>7.35</v>
      </c>
      <c r="L289">
        <v>0.31751080999999998</v>
      </c>
      <c r="M289" t="s">
        <v>17</v>
      </c>
      <c r="N289" s="4">
        <v>1.8</v>
      </c>
      <c r="O289" s="2">
        <v>0.17</v>
      </c>
      <c r="P289" s="2">
        <v>0.1</v>
      </c>
      <c r="Q289" s="2">
        <v>0.03</v>
      </c>
      <c r="R289" s="2">
        <v>0.11</v>
      </c>
      <c r="S289">
        <f t="shared" si="4"/>
        <v>0.41000000000000003</v>
      </c>
    </row>
    <row r="290" spans="1:19" x14ac:dyDescent="0.2">
      <c r="A290">
        <v>20</v>
      </c>
      <c r="B290" t="s">
        <v>23</v>
      </c>
      <c r="C290">
        <v>4</v>
      </c>
      <c r="D290" t="s">
        <v>19</v>
      </c>
      <c r="E290" t="s">
        <v>22</v>
      </c>
      <c r="F290" t="s">
        <v>17</v>
      </c>
      <c r="G290" t="s">
        <v>17</v>
      </c>
      <c r="H290" t="s">
        <v>17</v>
      </c>
      <c r="I290">
        <v>10</v>
      </c>
      <c r="J290" s="4">
        <v>8.3000000000000007</v>
      </c>
      <c r="K290">
        <v>7.1</v>
      </c>
      <c r="L290">
        <v>0.32114260500000003</v>
      </c>
      <c r="M290">
        <v>10.1</v>
      </c>
      <c r="N290" s="4">
        <v>1.4</v>
      </c>
      <c r="O290" s="2">
        <v>0.2</v>
      </c>
      <c r="P290" s="2">
        <v>0.15</v>
      </c>
      <c r="Q290" s="2">
        <v>0.06</v>
      </c>
      <c r="R290" s="2">
        <v>0.11</v>
      </c>
      <c r="S290">
        <f t="shared" si="4"/>
        <v>0.52</v>
      </c>
    </row>
    <row r="291" spans="1:19" x14ac:dyDescent="0.2">
      <c r="A291">
        <v>20</v>
      </c>
      <c r="B291" t="s">
        <v>24</v>
      </c>
      <c r="C291">
        <v>5</v>
      </c>
      <c r="D291" t="s">
        <v>19</v>
      </c>
      <c r="E291" t="s">
        <v>25</v>
      </c>
      <c r="F291" t="s">
        <v>17</v>
      </c>
      <c r="G291" t="s">
        <v>17</v>
      </c>
      <c r="H291" t="s">
        <v>17</v>
      </c>
      <c r="I291">
        <v>10</v>
      </c>
      <c r="J291" s="4">
        <v>9</v>
      </c>
      <c r="K291">
        <v>7.15</v>
      </c>
      <c r="L291">
        <v>0.32343369799999999</v>
      </c>
      <c r="M291">
        <v>18.399999999999999</v>
      </c>
      <c r="N291" s="4">
        <v>1.4</v>
      </c>
      <c r="O291" s="2">
        <v>0.27</v>
      </c>
      <c r="P291" s="2">
        <v>0.2</v>
      </c>
      <c r="Q291" s="2">
        <v>0.06</v>
      </c>
      <c r="R291" s="2">
        <v>0.09</v>
      </c>
      <c r="S291">
        <f t="shared" si="4"/>
        <v>0.62</v>
      </c>
    </row>
    <row r="292" spans="1:19" x14ac:dyDescent="0.2">
      <c r="A292">
        <v>20</v>
      </c>
      <c r="B292" t="s">
        <v>26</v>
      </c>
      <c r="C292">
        <v>6</v>
      </c>
      <c r="D292" t="s">
        <v>19</v>
      </c>
      <c r="E292" t="s">
        <v>27</v>
      </c>
      <c r="F292">
        <v>1.3661732879999999</v>
      </c>
      <c r="G292" s="1">
        <v>1.55E-8</v>
      </c>
      <c r="H292" s="1">
        <v>2.1500000000000001E-5</v>
      </c>
      <c r="I292">
        <v>10</v>
      </c>
      <c r="J292" s="4">
        <v>9.0500000000000007</v>
      </c>
      <c r="K292">
        <v>7.85</v>
      </c>
      <c r="L292">
        <v>0.32408140800000002</v>
      </c>
      <c r="M292">
        <v>21.2</v>
      </c>
      <c r="N292" s="4">
        <v>1.6</v>
      </c>
      <c r="O292" s="2">
        <v>0.35</v>
      </c>
      <c r="P292" s="2">
        <v>0.25</v>
      </c>
      <c r="Q292" s="2">
        <v>0.06</v>
      </c>
      <c r="R292" s="2">
        <v>0.09</v>
      </c>
      <c r="S292">
        <f t="shared" si="4"/>
        <v>0.74999999999999989</v>
      </c>
    </row>
    <row r="293" spans="1:19" x14ac:dyDescent="0.2">
      <c r="A293">
        <v>20</v>
      </c>
      <c r="B293" t="s">
        <v>28</v>
      </c>
      <c r="C293">
        <v>7</v>
      </c>
      <c r="D293" t="s">
        <v>19</v>
      </c>
      <c r="E293" t="s">
        <v>29</v>
      </c>
      <c r="F293" t="s">
        <v>17</v>
      </c>
      <c r="G293" t="s">
        <v>17</v>
      </c>
      <c r="H293" t="s">
        <v>17</v>
      </c>
      <c r="I293">
        <v>6.625</v>
      </c>
      <c r="J293" s="4">
        <v>9.8000000000000007</v>
      </c>
      <c r="K293">
        <v>7.05</v>
      </c>
      <c r="L293">
        <v>0.32712701900000002</v>
      </c>
      <c r="M293">
        <v>21.9</v>
      </c>
      <c r="N293" s="4">
        <v>1</v>
      </c>
      <c r="O293" s="2">
        <v>0.38</v>
      </c>
      <c r="P293" s="2">
        <v>0.27</v>
      </c>
      <c r="Q293" s="2">
        <v>0.05</v>
      </c>
      <c r="R293" s="2">
        <v>0.08</v>
      </c>
      <c r="S293">
        <f t="shared" si="4"/>
        <v>0.78</v>
      </c>
    </row>
    <row r="294" spans="1:19" x14ac:dyDescent="0.2">
      <c r="A294">
        <v>20</v>
      </c>
      <c r="B294" t="s">
        <v>30</v>
      </c>
      <c r="C294">
        <v>8</v>
      </c>
      <c r="D294" t="s">
        <v>19</v>
      </c>
      <c r="E294" t="s">
        <v>29</v>
      </c>
      <c r="F294" t="s">
        <v>17</v>
      </c>
      <c r="G294" t="s">
        <v>17</v>
      </c>
      <c r="H294" t="s">
        <v>17</v>
      </c>
      <c r="I294">
        <v>6.625</v>
      </c>
      <c r="J294" s="4">
        <v>8.9499999999999993</v>
      </c>
      <c r="K294">
        <v>7.15</v>
      </c>
      <c r="L294">
        <v>0.32888267300000001</v>
      </c>
      <c r="M294">
        <v>22.2</v>
      </c>
      <c r="N294" s="4">
        <v>1.6</v>
      </c>
      <c r="O294" s="2">
        <v>0.4</v>
      </c>
      <c r="P294" s="2">
        <v>0.27</v>
      </c>
      <c r="Q294" s="2">
        <v>0.05</v>
      </c>
      <c r="R294" s="2">
        <v>7.0000000000000007E-2</v>
      </c>
      <c r="S294">
        <f t="shared" si="4"/>
        <v>0.79</v>
      </c>
    </row>
    <row r="295" spans="1:19" x14ac:dyDescent="0.2">
      <c r="A295">
        <v>20</v>
      </c>
      <c r="B295" t="s">
        <v>31</v>
      </c>
      <c r="C295">
        <v>9</v>
      </c>
      <c r="D295" t="s">
        <v>19</v>
      </c>
      <c r="E295" t="s">
        <v>29</v>
      </c>
      <c r="F295">
        <v>1.7495156839999999</v>
      </c>
      <c r="G295" s="1">
        <v>-3.6500000000000003E-8</v>
      </c>
      <c r="H295" s="1">
        <v>-5.0599999999999997E-5</v>
      </c>
      <c r="I295">
        <v>4.75</v>
      </c>
      <c r="J295" s="4">
        <v>9.1</v>
      </c>
      <c r="K295">
        <v>6.95</v>
      </c>
      <c r="L295">
        <v>0.33112787300000002</v>
      </c>
      <c r="M295">
        <v>22.3</v>
      </c>
      <c r="N295" s="4">
        <v>1.2</v>
      </c>
      <c r="O295" s="2">
        <v>0.45</v>
      </c>
      <c r="P295" s="2">
        <v>0.3</v>
      </c>
      <c r="Q295" s="2">
        <v>0.04</v>
      </c>
      <c r="R295" s="2">
        <v>0.05</v>
      </c>
      <c r="S295">
        <f t="shared" si="4"/>
        <v>0.84000000000000008</v>
      </c>
    </row>
    <row r="296" spans="1:19" x14ac:dyDescent="0.2">
      <c r="A296">
        <v>20</v>
      </c>
      <c r="B296" t="s">
        <v>34</v>
      </c>
      <c r="C296">
        <v>10</v>
      </c>
      <c r="D296" t="s">
        <v>19</v>
      </c>
      <c r="E296" t="s">
        <v>33</v>
      </c>
      <c r="F296" t="s">
        <v>17</v>
      </c>
      <c r="G296" t="s">
        <v>17</v>
      </c>
      <c r="H296" t="s">
        <v>17</v>
      </c>
      <c r="I296">
        <v>2.5</v>
      </c>
      <c r="J296" s="4">
        <v>9</v>
      </c>
      <c r="K296">
        <v>6.95</v>
      </c>
      <c r="L296">
        <v>0.32924198799999999</v>
      </c>
      <c r="M296">
        <v>21.8</v>
      </c>
      <c r="N296" s="4">
        <v>1.2</v>
      </c>
      <c r="O296" s="2">
        <v>0.42</v>
      </c>
      <c r="P296" s="2">
        <v>0.3</v>
      </c>
      <c r="Q296" s="2">
        <v>0.01</v>
      </c>
      <c r="R296" s="2">
        <v>0.05</v>
      </c>
      <c r="S296">
        <f t="shared" si="4"/>
        <v>0.78</v>
      </c>
    </row>
    <row r="297" spans="1:19" x14ac:dyDescent="0.2">
      <c r="A297">
        <v>20</v>
      </c>
      <c r="B297" t="s">
        <v>35</v>
      </c>
      <c r="C297">
        <v>11</v>
      </c>
      <c r="D297" t="s">
        <v>19</v>
      </c>
      <c r="E297" t="s">
        <v>33</v>
      </c>
      <c r="F297" t="s">
        <v>17</v>
      </c>
      <c r="G297" t="s">
        <v>17</v>
      </c>
      <c r="H297" t="s">
        <v>17</v>
      </c>
      <c r="I297">
        <v>0.5</v>
      </c>
      <c r="J297" s="4">
        <v>9.75</v>
      </c>
      <c r="K297">
        <v>7.05</v>
      </c>
      <c r="L297">
        <v>0.327343938</v>
      </c>
      <c r="M297">
        <v>21.9</v>
      </c>
      <c r="N297" s="4">
        <v>1.2</v>
      </c>
      <c r="O297" s="2">
        <v>0.42</v>
      </c>
      <c r="P297" s="2">
        <v>0.3</v>
      </c>
      <c r="Q297" s="2">
        <v>0.01</v>
      </c>
      <c r="R297" s="2">
        <v>0.03</v>
      </c>
      <c r="S297">
        <f t="shared" si="4"/>
        <v>0.76</v>
      </c>
    </row>
    <row r="298" spans="1:19" x14ac:dyDescent="0.2">
      <c r="A298">
        <v>20</v>
      </c>
      <c r="B298" t="s">
        <v>36</v>
      </c>
      <c r="C298">
        <v>12</v>
      </c>
      <c r="D298" t="s">
        <v>19</v>
      </c>
      <c r="E298" t="s">
        <v>37</v>
      </c>
      <c r="F298" t="s">
        <v>17</v>
      </c>
      <c r="G298" t="s">
        <v>17</v>
      </c>
      <c r="H298" t="s">
        <v>17</v>
      </c>
      <c r="I298">
        <v>-1.5</v>
      </c>
      <c r="J298" s="4">
        <v>8.5</v>
      </c>
      <c r="K298">
        <v>7.35</v>
      </c>
      <c r="L298">
        <v>0.32289253400000001</v>
      </c>
      <c r="M298">
        <v>21.7</v>
      </c>
      <c r="N298" s="4">
        <v>13.2</v>
      </c>
      <c r="O298" s="2">
        <v>0.38</v>
      </c>
      <c r="P298" s="2">
        <v>0.28000000000000003</v>
      </c>
      <c r="Q298" s="2">
        <v>0.01</v>
      </c>
      <c r="R298" s="2">
        <v>0.01</v>
      </c>
      <c r="S298">
        <f t="shared" si="4"/>
        <v>0.68</v>
      </c>
    </row>
    <row r="299" spans="1:19" x14ac:dyDescent="0.2">
      <c r="A299">
        <v>20</v>
      </c>
      <c r="B299" t="s">
        <v>38</v>
      </c>
      <c r="C299">
        <v>13</v>
      </c>
      <c r="D299" t="s">
        <v>19</v>
      </c>
      <c r="E299" t="s">
        <v>37</v>
      </c>
      <c r="F299" t="s">
        <v>17</v>
      </c>
      <c r="G299" t="s">
        <v>17</v>
      </c>
      <c r="H299" t="s">
        <v>17</v>
      </c>
      <c r="I299" t="s">
        <v>17</v>
      </c>
      <c r="J299" s="4" t="s">
        <v>17</v>
      </c>
      <c r="K299" t="s">
        <v>17</v>
      </c>
      <c r="L299" t="s">
        <v>17</v>
      </c>
      <c r="M299" t="s">
        <v>17</v>
      </c>
      <c r="N299" s="4" t="s">
        <v>17</v>
      </c>
      <c r="O299" t="s">
        <v>17</v>
      </c>
      <c r="P299" t="s">
        <v>17</v>
      </c>
      <c r="Q299" t="s">
        <v>17</v>
      </c>
      <c r="R299" t="s">
        <v>17</v>
      </c>
      <c r="S299" t="s">
        <v>17</v>
      </c>
    </row>
    <row r="300" spans="1:19" x14ac:dyDescent="0.2">
      <c r="A300">
        <v>20</v>
      </c>
      <c r="B300" t="s">
        <v>39</v>
      </c>
      <c r="C300">
        <v>14</v>
      </c>
      <c r="D300" t="s">
        <v>19</v>
      </c>
      <c r="E300" t="s">
        <v>37</v>
      </c>
      <c r="F300" t="s">
        <v>17</v>
      </c>
      <c r="G300" t="s">
        <v>17</v>
      </c>
      <c r="H300" t="s">
        <v>17</v>
      </c>
      <c r="I300" t="s">
        <v>17</v>
      </c>
      <c r="J300" s="4" t="s">
        <v>17</v>
      </c>
      <c r="K300" t="s">
        <v>17</v>
      </c>
      <c r="L300" t="s">
        <v>17</v>
      </c>
      <c r="M300" t="s">
        <v>17</v>
      </c>
      <c r="N300" s="4" t="s">
        <v>17</v>
      </c>
      <c r="O300" t="s">
        <v>17</v>
      </c>
      <c r="P300" t="s">
        <v>17</v>
      </c>
      <c r="Q300" t="s">
        <v>17</v>
      </c>
      <c r="R300" t="s">
        <v>17</v>
      </c>
      <c r="S300" t="s">
        <v>17</v>
      </c>
    </row>
    <row r="301" spans="1:19" x14ac:dyDescent="0.2">
      <c r="A301">
        <v>20</v>
      </c>
      <c r="B301" t="s">
        <v>40</v>
      </c>
      <c r="C301">
        <v>15</v>
      </c>
      <c r="D301" t="s">
        <v>19</v>
      </c>
      <c r="E301" t="s">
        <v>37</v>
      </c>
      <c r="F301" t="s">
        <v>17</v>
      </c>
      <c r="G301" t="s">
        <v>17</v>
      </c>
      <c r="H301" t="s">
        <v>17</v>
      </c>
      <c r="I301" t="s">
        <v>17</v>
      </c>
      <c r="J301" s="4" t="s">
        <v>17</v>
      </c>
      <c r="K301" t="s">
        <v>17</v>
      </c>
      <c r="L301" t="s">
        <v>17</v>
      </c>
      <c r="M301" t="s">
        <v>17</v>
      </c>
      <c r="N301" s="4" t="s">
        <v>17</v>
      </c>
      <c r="O301" t="s">
        <v>17</v>
      </c>
      <c r="P301" t="s">
        <v>17</v>
      </c>
      <c r="Q301" t="s">
        <v>17</v>
      </c>
      <c r="R301" t="s">
        <v>17</v>
      </c>
      <c r="S301" t="s">
        <v>17</v>
      </c>
    </row>
    <row r="302" spans="1:19" x14ac:dyDescent="0.2">
      <c r="A302">
        <v>21</v>
      </c>
      <c r="B302" t="s">
        <v>14</v>
      </c>
      <c r="C302">
        <v>1</v>
      </c>
      <c r="D302" t="s">
        <v>18</v>
      </c>
      <c r="E302" t="s">
        <v>16</v>
      </c>
      <c r="F302" t="s">
        <v>17</v>
      </c>
      <c r="G302" t="s">
        <v>17</v>
      </c>
      <c r="H302" t="s">
        <v>17</v>
      </c>
      <c r="I302">
        <v>10</v>
      </c>
      <c r="J302" s="4">
        <v>4.2</v>
      </c>
      <c r="K302">
        <v>7.5</v>
      </c>
      <c r="L302">
        <v>0.30667664100000003</v>
      </c>
      <c r="M302" s="4" t="s">
        <v>17</v>
      </c>
      <c r="N302" s="4">
        <v>1.4</v>
      </c>
      <c r="O302" s="2">
        <v>0.03</v>
      </c>
      <c r="P302" s="2">
        <v>0</v>
      </c>
      <c r="Q302" s="2">
        <v>0</v>
      </c>
      <c r="R302" s="2">
        <v>0.03</v>
      </c>
      <c r="S302">
        <f t="shared" si="4"/>
        <v>0.06</v>
      </c>
    </row>
    <row r="303" spans="1:19" x14ac:dyDescent="0.2">
      <c r="A303">
        <v>21</v>
      </c>
      <c r="B303" t="s">
        <v>20</v>
      </c>
      <c r="C303">
        <v>2</v>
      </c>
      <c r="D303" t="s">
        <v>18</v>
      </c>
      <c r="E303" t="s">
        <v>16</v>
      </c>
      <c r="F303" t="s">
        <v>17</v>
      </c>
      <c r="G303" t="s">
        <v>17</v>
      </c>
      <c r="H303" t="s">
        <v>17</v>
      </c>
      <c r="I303">
        <v>10</v>
      </c>
      <c r="J303" s="4">
        <v>4.7</v>
      </c>
      <c r="K303">
        <v>7.5</v>
      </c>
      <c r="L303">
        <v>0.31258711300000003</v>
      </c>
      <c r="M303" s="4" t="s">
        <v>17</v>
      </c>
      <c r="N303" s="4">
        <v>1.1000000000000001</v>
      </c>
      <c r="O303" s="2">
        <v>0.05</v>
      </c>
      <c r="P303" s="2">
        <v>0.05</v>
      </c>
      <c r="Q303" s="2">
        <v>0</v>
      </c>
      <c r="R303" s="2">
        <v>0.04</v>
      </c>
      <c r="S303">
        <f t="shared" si="4"/>
        <v>0.14000000000000001</v>
      </c>
    </row>
    <row r="304" spans="1:19" x14ac:dyDescent="0.2">
      <c r="A304">
        <v>21</v>
      </c>
      <c r="B304" t="s">
        <v>21</v>
      </c>
      <c r="C304">
        <v>3</v>
      </c>
      <c r="D304" t="s">
        <v>18</v>
      </c>
      <c r="E304" t="s">
        <v>22</v>
      </c>
      <c r="F304" t="s">
        <v>17</v>
      </c>
      <c r="G304" t="s">
        <v>17</v>
      </c>
      <c r="H304" t="s">
        <v>17</v>
      </c>
      <c r="I304">
        <v>10</v>
      </c>
      <c r="J304" s="4">
        <v>6.4</v>
      </c>
      <c r="K304">
        <v>7.75</v>
      </c>
      <c r="L304">
        <v>0.315498259</v>
      </c>
      <c r="M304" t="s">
        <v>17</v>
      </c>
      <c r="N304" s="4">
        <v>1.4</v>
      </c>
      <c r="O304" s="2">
        <v>0.1</v>
      </c>
      <c r="P304" s="2">
        <v>0.12</v>
      </c>
      <c r="Q304" s="2">
        <v>0</v>
      </c>
      <c r="R304" s="2">
        <v>0.04</v>
      </c>
      <c r="S304">
        <f t="shared" si="4"/>
        <v>0.26</v>
      </c>
    </row>
    <row r="305" spans="1:19" x14ac:dyDescent="0.2">
      <c r="A305">
        <v>21</v>
      </c>
      <c r="B305" t="s">
        <v>23</v>
      </c>
      <c r="C305">
        <v>4</v>
      </c>
      <c r="D305" t="s">
        <v>18</v>
      </c>
      <c r="E305" t="s">
        <v>22</v>
      </c>
      <c r="F305" t="s">
        <v>17</v>
      </c>
      <c r="G305" t="s">
        <v>17</v>
      </c>
      <c r="H305" t="s">
        <v>17</v>
      </c>
      <c r="I305">
        <v>10</v>
      </c>
      <c r="J305" s="4">
        <v>8.5</v>
      </c>
      <c r="K305">
        <v>7</v>
      </c>
      <c r="L305">
        <v>0.32072812899999997</v>
      </c>
      <c r="M305">
        <v>13.6</v>
      </c>
      <c r="N305" s="4">
        <v>1.6</v>
      </c>
      <c r="O305" s="2">
        <v>0.15</v>
      </c>
      <c r="P305" s="2">
        <v>0.2</v>
      </c>
      <c r="Q305" s="2">
        <v>0.02</v>
      </c>
      <c r="R305" s="2">
        <v>0.04</v>
      </c>
      <c r="S305">
        <f t="shared" si="4"/>
        <v>0.41</v>
      </c>
    </row>
    <row r="306" spans="1:19" x14ac:dyDescent="0.2">
      <c r="A306">
        <v>21</v>
      </c>
      <c r="B306" t="s">
        <v>24</v>
      </c>
      <c r="C306">
        <v>5</v>
      </c>
      <c r="D306" t="s">
        <v>18</v>
      </c>
      <c r="E306" t="s">
        <v>25</v>
      </c>
      <c r="F306">
        <v>1.3738732279999999</v>
      </c>
      <c r="G306" s="1">
        <v>-3.1599999999999998E-8</v>
      </c>
      <c r="H306" s="1">
        <v>-4.3800000000000001E-5</v>
      </c>
      <c r="I306">
        <v>16</v>
      </c>
      <c r="J306" s="4">
        <v>8.6999999999999993</v>
      </c>
      <c r="K306">
        <v>6.95</v>
      </c>
      <c r="L306">
        <v>0.324364773</v>
      </c>
      <c r="M306">
        <v>19</v>
      </c>
      <c r="N306" s="4">
        <v>1.8</v>
      </c>
      <c r="O306" s="2">
        <v>0.18</v>
      </c>
      <c r="P306" s="2">
        <v>0.25</v>
      </c>
      <c r="Q306" s="2">
        <v>0.02</v>
      </c>
      <c r="R306" s="2">
        <v>0.03</v>
      </c>
      <c r="S306">
        <f t="shared" si="4"/>
        <v>0.48</v>
      </c>
    </row>
    <row r="307" spans="1:19" x14ac:dyDescent="0.2">
      <c r="A307">
        <v>21</v>
      </c>
      <c r="B307" t="s">
        <v>26</v>
      </c>
      <c r="C307">
        <v>6</v>
      </c>
      <c r="D307" t="s">
        <v>18</v>
      </c>
      <c r="E307" t="s">
        <v>27</v>
      </c>
      <c r="F307">
        <v>3.772613657</v>
      </c>
      <c r="G307" s="1">
        <v>-1.89E-8</v>
      </c>
      <c r="H307" s="1">
        <v>-2.62E-5</v>
      </c>
      <c r="I307">
        <v>16</v>
      </c>
      <c r="J307" s="4">
        <v>9.4</v>
      </c>
      <c r="K307">
        <v>6.95</v>
      </c>
      <c r="L307">
        <v>0.33471468599999998</v>
      </c>
      <c r="M307">
        <v>24.7</v>
      </c>
      <c r="N307" s="4">
        <v>1.6</v>
      </c>
      <c r="O307" s="2">
        <v>0.27</v>
      </c>
      <c r="P307" s="2">
        <v>0.35</v>
      </c>
      <c r="Q307" s="2">
        <v>0.02</v>
      </c>
      <c r="R307" s="2">
        <v>0.02</v>
      </c>
      <c r="S307">
        <f t="shared" si="4"/>
        <v>0.66</v>
      </c>
    </row>
    <row r="308" spans="1:19" x14ac:dyDescent="0.2">
      <c r="A308">
        <v>21</v>
      </c>
      <c r="B308" t="s">
        <v>28</v>
      </c>
      <c r="C308">
        <v>7</v>
      </c>
      <c r="D308" t="s">
        <v>18</v>
      </c>
      <c r="E308" t="s">
        <v>29</v>
      </c>
      <c r="F308" t="s">
        <v>17</v>
      </c>
      <c r="G308" t="s">
        <v>17</v>
      </c>
      <c r="H308" t="s">
        <v>17</v>
      </c>
      <c r="I308">
        <v>6.625</v>
      </c>
      <c r="J308" s="4">
        <v>8.1999999999999993</v>
      </c>
      <c r="K308">
        <v>7.3</v>
      </c>
      <c r="L308">
        <v>0.339524412</v>
      </c>
      <c r="M308">
        <v>28.2</v>
      </c>
      <c r="N308" s="4">
        <v>1</v>
      </c>
      <c r="O308" s="2">
        <v>0.38</v>
      </c>
      <c r="P308" s="2">
        <v>0.37</v>
      </c>
      <c r="Q308" s="2">
        <v>0.02</v>
      </c>
      <c r="R308" s="2">
        <v>0.01</v>
      </c>
      <c r="S308">
        <f t="shared" si="4"/>
        <v>0.78</v>
      </c>
    </row>
    <row r="309" spans="1:19" x14ac:dyDescent="0.2">
      <c r="A309">
        <v>21</v>
      </c>
      <c r="B309" t="s">
        <v>30</v>
      </c>
      <c r="C309">
        <v>8</v>
      </c>
      <c r="D309" t="s">
        <v>18</v>
      </c>
      <c r="E309" t="s">
        <v>29</v>
      </c>
      <c r="F309" t="s">
        <v>17</v>
      </c>
      <c r="G309" t="s">
        <v>17</v>
      </c>
      <c r="H309" t="s">
        <v>17</v>
      </c>
      <c r="I309">
        <v>6.625</v>
      </c>
      <c r="J309" s="4">
        <v>8.9</v>
      </c>
      <c r="K309">
        <v>7.1</v>
      </c>
      <c r="L309">
        <v>0.34051757100000002</v>
      </c>
      <c r="M309">
        <v>29.3</v>
      </c>
      <c r="N309" s="4">
        <v>1.8</v>
      </c>
      <c r="O309" s="2">
        <v>0.38</v>
      </c>
      <c r="P309" s="2">
        <v>0.37</v>
      </c>
      <c r="Q309" s="2">
        <v>0.05</v>
      </c>
      <c r="R309" s="2">
        <v>0.01</v>
      </c>
      <c r="S309">
        <f t="shared" si="4"/>
        <v>0.81</v>
      </c>
    </row>
    <row r="310" spans="1:19" x14ac:dyDescent="0.2">
      <c r="A310">
        <v>21</v>
      </c>
      <c r="B310" t="s">
        <v>31</v>
      </c>
      <c r="C310">
        <v>9</v>
      </c>
      <c r="D310" t="s">
        <v>18</v>
      </c>
      <c r="E310" t="s">
        <v>29</v>
      </c>
      <c r="F310">
        <v>1.607966569</v>
      </c>
      <c r="G310" s="1">
        <v>-3.8600000000000002E-8</v>
      </c>
      <c r="H310" s="1">
        <v>-5.3499999999999999E-5</v>
      </c>
      <c r="I310">
        <v>4.75</v>
      </c>
      <c r="J310" s="4">
        <v>8.6</v>
      </c>
      <c r="K310">
        <v>7.1</v>
      </c>
      <c r="L310">
        <v>0.34218463399999999</v>
      </c>
      <c r="M310">
        <v>30.3</v>
      </c>
      <c r="N310" s="4">
        <v>1</v>
      </c>
      <c r="O310" s="2">
        <v>0.4</v>
      </c>
      <c r="P310" s="2">
        <v>0.38</v>
      </c>
      <c r="Q310" s="2">
        <v>0.05</v>
      </c>
      <c r="R310" s="2">
        <v>0.01</v>
      </c>
      <c r="S310">
        <f t="shared" si="4"/>
        <v>0.84000000000000008</v>
      </c>
    </row>
    <row r="311" spans="1:19" x14ac:dyDescent="0.2">
      <c r="A311">
        <v>21</v>
      </c>
      <c r="B311" t="s">
        <v>34</v>
      </c>
      <c r="C311">
        <v>10</v>
      </c>
      <c r="D311" t="s">
        <v>18</v>
      </c>
      <c r="E311" t="s">
        <v>33</v>
      </c>
      <c r="F311" t="s">
        <v>17</v>
      </c>
      <c r="G311" t="s">
        <v>17</v>
      </c>
      <c r="H311" t="s">
        <v>17</v>
      </c>
      <c r="I311">
        <v>2.5</v>
      </c>
      <c r="J311" s="4">
        <v>8.4499999999999993</v>
      </c>
      <c r="K311">
        <v>7.15</v>
      </c>
      <c r="L311">
        <v>0.34190542000000002</v>
      </c>
      <c r="M311">
        <v>30.9</v>
      </c>
      <c r="N311" s="4">
        <v>1</v>
      </c>
      <c r="O311" s="2">
        <v>0.42</v>
      </c>
      <c r="P311" s="2">
        <v>0.38</v>
      </c>
      <c r="Q311" s="2">
        <v>0.05</v>
      </c>
      <c r="R311" s="2">
        <v>0.01</v>
      </c>
      <c r="S311">
        <f t="shared" si="4"/>
        <v>0.8600000000000001</v>
      </c>
    </row>
    <row r="312" spans="1:19" x14ac:dyDescent="0.2">
      <c r="A312">
        <v>21</v>
      </c>
      <c r="B312" t="s">
        <v>35</v>
      </c>
      <c r="C312">
        <v>11</v>
      </c>
      <c r="D312" t="s">
        <v>18</v>
      </c>
      <c r="E312" t="s">
        <v>33</v>
      </c>
      <c r="F312">
        <v>1.46181695</v>
      </c>
      <c r="G312" s="1">
        <v>2.2399999999999999E-8</v>
      </c>
      <c r="H312" s="1">
        <v>3.1000000000000001E-5</v>
      </c>
      <c r="I312">
        <v>0.5</v>
      </c>
      <c r="J312" s="4">
        <v>8.8000000000000007</v>
      </c>
      <c r="K312">
        <v>7.2</v>
      </c>
      <c r="L312">
        <v>0.34034406499999997</v>
      </c>
      <c r="M312">
        <v>30.7</v>
      </c>
      <c r="N312" s="4">
        <v>1</v>
      </c>
      <c r="O312" s="2">
        <v>0.42</v>
      </c>
      <c r="P312" s="2">
        <v>0.38</v>
      </c>
      <c r="Q312" s="2">
        <v>0.05</v>
      </c>
      <c r="R312" s="2">
        <v>0.01</v>
      </c>
      <c r="S312">
        <f t="shared" si="4"/>
        <v>0.8600000000000001</v>
      </c>
    </row>
    <row r="313" spans="1:19" x14ac:dyDescent="0.2">
      <c r="A313">
        <v>21</v>
      </c>
      <c r="B313" t="s">
        <v>36</v>
      </c>
      <c r="C313">
        <v>12</v>
      </c>
      <c r="D313" t="s">
        <v>18</v>
      </c>
      <c r="E313" t="s">
        <v>37</v>
      </c>
      <c r="F313" t="s">
        <v>17</v>
      </c>
      <c r="G313" t="s">
        <v>17</v>
      </c>
      <c r="H313" t="s">
        <v>17</v>
      </c>
      <c r="I313">
        <v>-1.5</v>
      </c>
      <c r="J313" s="4">
        <v>7.95</v>
      </c>
      <c r="K313">
        <v>7.35</v>
      </c>
      <c r="L313">
        <v>0.33764286799999998</v>
      </c>
      <c r="M313">
        <v>31.2</v>
      </c>
      <c r="N313" s="4">
        <v>13.6</v>
      </c>
      <c r="O313" s="2">
        <v>0.42</v>
      </c>
      <c r="P313" s="2">
        <v>0.3</v>
      </c>
      <c r="Q313" s="2">
        <v>0.05</v>
      </c>
      <c r="R313" s="2">
        <v>0.01</v>
      </c>
      <c r="S313">
        <f t="shared" si="4"/>
        <v>0.78</v>
      </c>
    </row>
    <row r="314" spans="1:19" x14ac:dyDescent="0.2">
      <c r="A314">
        <v>21</v>
      </c>
      <c r="B314" t="s">
        <v>38</v>
      </c>
      <c r="C314">
        <v>13</v>
      </c>
      <c r="D314" t="s">
        <v>18</v>
      </c>
      <c r="E314" t="s">
        <v>37</v>
      </c>
      <c r="F314" t="s">
        <v>17</v>
      </c>
      <c r="G314" t="s">
        <v>17</v>
      </c>
      <c r="H314" t="s">
        <v>17</v>
      </c>
      <c r="I314" t="s">
        <v>17</v>
      </c>
      <c r="J314" s="4" t="s">
        <v>17</v>
      </c>
      <c r="K314" t="s">
        <v>17</v>
      </c>
      <c r="L314" t="s">
        <v>17</v>
      </c>
      <c r="M314" t="s">
        <v>17</v>
      </c>
      <c r="O314" t="s">
        <v>17</v>
      </c>
      <c r="P314" t="s">
        <v>17</v>
      </c>
      <c r="Q314" t="s">
        <v>17</v>
      </c>
      <c r="R314" t="s">
        <v>17</v>
      </c>
      <c r="S314" t="s">
        <v>17</v>
      </c>
    </row>
    <row r="315" spans="1:19" x14ac:dyDescent="0.2">
      <c r="A315">
        <v>21</v>
      </c>
      <c r="B315" t="s">
        <v>39</v>
      </c>
      <c r="C315">
        <v>14</v>
      </c>
      <c r="D315" t="s">
        <v>18</v>
      </c>
      <c r="E315" t="s">
        <v>37</v>
      </c>
      <c r="F315" t="s">
        <v>17</v>
      </c>
      <c r="G315" t="s">
        <v>17</v>
      </c>
      <c r="H315" t="s">
        <v>17</v>
      </c>
      <c r="I315" t="s">
        <v>17</v>
      </c>
      <c r="J315" s="4" t="s">
        <v>17</v>
      </c>
      <c r="K315" t="s">
        <v>17</v>
      </c>
      <c r="L315" t="s">
        <v>17</v>
      </c>
      <c r="M315" t="s">
        <v>17</v>
      </c>
      <c r="O315" t="s">
        <v>17</v>
      </c>
      <c r="P315" t="s">
        <v>17</v>
      </c>
      <c r="Q315" t="s">
        <v>17</v>
      </c>
      <c r="R315" t="s">
        <v>17</v>
      </c>
      <c r="S315" t="s">
        <v>17</v>
      </c>
    </row>
    <row r="316" spans="1:19" x14ac:dyDescent="0.2">
      <c r="A316">
        <v>21</v>
      </c>
      <c r="B316" t="s">
        <v>40</v>
      </c>
      <c r="C316">
        <v>15</v>
      </c>
      <c r="D316" t="s">
        <v>18</v>
      </c>
      <c r="E316" t="s">
        <v>37</v>
      </c>
      <c r="F316" t="s">
        <v>17</v>
      </c>
      <c r="G316" t="s">
        <v>17</v>
      </c>
      <c r="H316" t="s">
        <v>17</v>
      </c>
      <c r="I316" t="s">
        <v>17</v>
      </c>
      <c r="J316" s="4" t="s">
        <v>17</v>
      </c>
      <c r="K316" t="s">
        <v>17</v>
      </c>
      <c r="L316" t="s">
        <v>17</v>
      </c>
      <c r="M316" t="s">
        <v>45</v>
      </c>
      <c r="O316" t="s">
        <v>17</v>
      </c>
      <c r="P316" t="s">
        <v>17</v>
      </c>
      <c r="Q316" t="s">
        <v>17</v>
      </c>
      <c r="R316" t="s">
        <v>17</v>
      </c>
      <c r="S316" t="s">
        <v>17</v>
      </c>
    </row>
  </sheetData>
  <autoFilter ref="A1:N316" xr:uid="{FC5F856A-EDDA-0E40-9F21-5684AE9CA21E}">
    <sortState xmlns:xlrd2="http://schemas.microsoft.com/office/spreadsheetml/2017/richdata2" ref="A2:N316">
      <sortCondition ref="A1:A3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MasterDataSheet_UGthesis_Feb232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Solis de Ovando</dc:creator>
  <cp:lastModifiedBy>Samantha Solis de Ovando</cp:lastModifiedBy>
  <dcterms:created xsi:type="dcterms:W3CDTF">2026-02-24T07:54:10Z</dcterms:created>
  <dcterms:modified xsi:type="dcterms:W3CDTF">2026-02-24T07:54:29Z</dcterms:modified>
</cp:coreProperties>
</file>